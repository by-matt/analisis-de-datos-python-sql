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ntiago" sheetId="1" state="visible" r:id="rId3"/>
    <sheet name="Valparaíso" sheetId="2" state="visible" r:id="rId4"/>
    <sheet name="Concepción" sheetId="3" state="visible" r:id="rId5"/>
    <sheet name="La Serena" sheetId="4" state="visible" r:id="rId6"/>
    <sheet name="Antofagast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<sst xmlns="http://schemas.openxmlformats.org/spreadsheetml/2006/main" count="496" uniqueCount="177">
  <si>
    <t xml:space="preserve">CONSUMO ELÉCTRICO MENSUAL — SANTIAGO — MAYO 2024</t>
  </si>
  <si>
    <t xml:space="preserve">ID Cliente</t>
  </si>
  <si>
    <t xml:space="preserve">Fecha Lectura</t>
  </si>
  <si>
    <t xml:space="preserve">Tipo Cliente</t>
  </si>
  <si>
    <t xml:space="preserve">Consumo (kWh)</t>
  </si>
  <si>
    <t xml:space="preserve">Tarifa ($/kWh)</t>
  </si>
  <si>
    <t xml:space="preserve">Monto Total ($)</t>
  </si>
  <si>
    <t xml:space="preserve">SAN-C-1000</t>
  </si>
  <si>
    <t xml:space="preserve">2024-05-05</t>
  </si>
  <si>
    <t xml:space="preserve">Comercial</t>
  </si>
  <si>
    <t xml:space="preserve">SAN-R-1001</t>
  </si>
  <si>
    <t xml:space="preserve">2024-05-08</t>
  </si>
  <si>
    <t xml:space="preserve">Residencial</t>
  </si>
  <si>
    <t xml:space="preserve">SAN-R-1002</t>
  </si>
  <si>
    <t xml:space="preserve">N/D</t>
  </si>
  <si>
    <t xml:space="preserve">SAN-R-1003</t>
  </si>
  <si>
    <t xml:space="preserve">SAN-R-1004</t>
  </si>
  <si>
    <t xml:space="preserve">2024-05-13</t>
  </si>
  <si>
    <t xml:space="preserve">SAN-C-1005</t>
  </si>
  <si>
    <t xml:space="preserve">2024-05-02</t>
  </si>
  <si>
    <t xml:space="preserve">SAN-C-1006</t>
  </si>
  <si>
    <t xml:space="preserve">2024-05-12</t>
  </si>
  <si>
    <t xml:space="preserve">SAN-R-1007</t>
  </si>
  <si>
    <t xml:space="preserve">SAN-R-1008</t>
  </si>
  <si>
    <t xml:space="preserve">SAN-C-1009</t>
  </si>
  <si>
    <t xml:space="preserve">residencial</t>
  </si>
  <si>
    <t xml:space="preserve">SAN-R-1010</t>
  </si>
  <si>
    <t xml:space="preserve">2024-05-03</t>
  </si>
  <si>
    <t xml:space="preserve">SAN-R-1011</t>
  </si>
  <si>
    <t xml:space="preserve">2024-05-09</t>
  </si>
  <si>
    <t xml:space="preserve">SAN-C-1012</t>
  </si>
  <si>
    <t xml:space="preserve">SAN-R-1013</t>
  </si>
  <si>
    <t xml:space="preserve">2024-05-07</t>
  </si>
  <si>
    <t xml:space="preserve">SAN-R-1014</t>
  </si>
  <si>
    <t xml:space="preserve">2024-05-01</t>
  </si>
  <si>
    <t xml:space="preserve">SAN-R-1015</t>
  </si>
  <si>
    <t xml:space="preserve">SAN-C-1016</t>
  </si>
  <si>
    <t xml:space="preserve">SAN-R-1017</t>
  </si>
  <si>
    <t xml:space="preserve">SAN-C-1018</t>
  </si>
  <si>
    <t xml:space="preserve">2024-05-06</t>
  </si>
  <si>
    <t xml:space="preserve">SAN-R-1019</t>
  </si>
  <si>
    <t xml:space="preserve">SAN-C-1020</t>
  </si>
  <si>
    <t xml:space="preserve">SAN-R-1021</t>
  </si>
  <si>
    <t xml:space="preserve">SAN-C-1022</t>
  </si>
  <si>
    <t xml:space="preserve">SAN-R-1023</t>
  </si>
  <si>
    <t xml:space="preserve">SAN-C-1024</t>
  </si>
  <si>
    <t xml:space="preserve">SAN-R-1025</t>
  </si>
  <si>
    <t xml:space="preserve">SAN-C-1026</t>
  </si>
  <si>
    <t xml:space="preserve">SAN-C-1027</t>
  </si>
  <si>
    <t xml:space="preserve">SAN-R-1028</t>
  </si>
  <si>
    <t xml:space="preserve">SAN-C-1029</t>
  </si>
  <si>
    <t xml:space="preserve">SAN-C-1030</t>
  </si>
  <si>
    <t xml:space="preserve">SAN-C-1031</t>
  </si>
  <si>
    <t xml:space="preserve">SAN-R-1032</t>
  </si>
  <si>
    <t xml:space="preserve">SAN-C-1033</t>
  </si>
  <si>
    <t xml:space="preserve">SAN-C-1034</t>
  </si>
  <si>
    <t xml:space="preserve">SAN-C-1035</t>
  </si>
  <si>
    <t xml:space="preserve">SAN-C-1036</t>
  </si>
  <si>
    <t xml:space="preserve">SAN-R-1037</t>
  </si>
  <si>
    <t xml:space="preserve">SAN-C-1038</t>
  </si>
  <si>
    <t xml:space="preserve">SAN-C-1039</t>
  </si>
  <si>
    <t xml:space="preserve">TOTALES</t>
  </si>
  <si>
    <t xml:space="preserve">—</t>
  </si>
  <si>
    <t xml:space="preserve">CONSUMO ELÉCTRICO MENSUAL — VALPARAÍSO — MAYO 2024</t>
  </si>
  <si>
    <t xml:space="preserve">VAL-R-1000</t>
  </si>
  <si>
    <t xml:space="preserve">VAL-C-1001</t>
  </si>
  <si>
    <t xml:space="preserve">VAL-C-1002</t>
  </si>
  <si>
    <t xml:space="preserve">VAL-C-1003</t>
  </si>
  <si>
    <t xml:space="preserve">VAL-C-1004</t>
  </si>
  <si>
    <t xml:space="preserve">VAL-C-1005</t>
  </si>
  <si>
    <t xml:space="preserve">VAL-C-1006</t>
  </si>
  <si>
    <t xml:space="preserve">VAL-C-1007</t>
  </si>
  <si>
    <t xml:space="preserve">VAL-C-1008</t>
  </si>
  <si>
    <t xml:space="preserve">VAL-R-1009</t>
  </si>
  <si>
    <t xml:space="preserve">VAL-C-1010</t>
  </si>
  <si>
    <t xml:space="preserve">VAL-C-1011</t>
  </si>
  <si>
    <t xml:space="preserve">VAL-R-1012</t>
  </si>
  <si>
    <t xml:space="preserve">VAL-C-1013</t>
  </si>
  <si>
    <t xml:space="preserve">VAL-R-1014</t>
  </si>
  <si>
    <t xml:space="preserve">VAL-C-1015</t>
  </si>
  <si>
    <t xml:space="preserve">VAL-C-1016</t>
  </si>
  <si>
    <t xml:space="preserve">VAL-C-1017</t>
  </si>
  <si>
    <t xml:space="preserve">VAL-C-1018</t>
  </si>
  <si>
    <t xml:space="preserve">VAL-C-1019</t>
  </si>
  <si>
    <t xml:space="preserve">VAL-R-1020</t>
  </si>
  <si>
    <t xml:space="preserve">VAL-C-1021</t>
  </si>
  <si>
    <t xml:space="preserve">VAL-R-1022</t>
  </si>
  <si>
    <t xml:space="preserve">VAL-R-1023</t>
  </si>
  <si>
    <t xml:space="preserve">VAL-R-1024</t>
  </si>
  <si>
    <t xml:space="preserve">VAL-C-1025</t>
  </si>
  <si>
    <t xml:space="preserve">VAL-R-1026</t>
  </si>
  <si>
    <t xml:space="preserve">VAL-C-1027</t>
  </si>
  <si>
    <t xml:space="preserve">VAL-R-1028</t>
  </si>
  <si>
    <t xml:space="preserve">VAL-R-1029</t>
  </si>
  <si>
    <t xml:space="preserve">CONSUMO ELÉCTRICO MENSUAL — CONCEPCIÓN — MAYO 2024</t>
  </si>
  <si>
    <t xml:space="preserve">CON-R-1000</t>
  </si>
  <si>
    <t xml:space="preserve">CON-R-1001</t>
  </si>
  <si>
    <t xml:space="preserve">CON-C-1002</t>
  </si>
  <si>
    <t xml:space="preserve">CON-C-1003</t>
  </si>
  <si>
    <t xml:space="preserve">CON-R-1004</t>
  </si>
  <si>
    <t xml:space="preserve">CON-C-1005</t>
  </si>
  <si>
    <t xml:space="preserve">CON-R-1006</t>
  </si>
  <si>
    <t xml:space="preserve">CON-C-1007</t>
  </si>
  <si>
    <t xml:space="preserve">CON-C-1008</t>
  </si>
  <si>
    <t xml:space="preserve">CON-R-1009</t>
  </si>
  <si>
    <t xml:space="preserve">CON-C-1010</t>
  </si>
  <si>
    <t xml:space="preserve">CON-R-1011</t>
  </si>
  <si>
    <t xml:space="preserve">CON-R-1012</t>
  </si>
  <si>
    <t xml:space="preserve">CON-R-1013</t>
  </si>
  <si>
    <t xml:space="preserve">CON-R-1014</t>
  </si>
  <si>
    <t xml:space="preserve">CON-R-1015</t>
  </si>
  <si>
    <t xml:space="preserve">CON-C-1016</t>
  </si>
  <si>
    <t xml:space="preserve">CON-C-1017</t>
  </si>
  <si>
    <t xml:space="preserve">CON-R-1018</t>
  </si>
  <si>
    <t xml:space="preserve">CON-C-1019</t>
  </si>
  <si>
    <t xml:space="preserve">CON-R-1020</t>
  </si>
  <si>
    <t xml:space="preserve">CON-R-1021</t>
  </si>
  <si>
    <t xml:space="preserve">CON-R-1022</t>
  </si>
  <si>
    <t xml:space="preserve">CON-C-1023</t>
  </si>
  <si>
    <t xml:space="preserve">CON-R-1024</t>
  </si>
  <si>
    <t xml:space="preserve">CON-C-1025</t>
  </si>
  <si>
    <t xml:space="preserve">CON-C-1026</t>
  </si>
  <si>
    <t xml:space="preserve">CON-R-1027</t>
  </si>
  <si>
    <t xml:space="preserve">CON-C-1028</t>
  </si>
  <si>
    <t xml:space="preserve">CON-C-1029</t>
  </si>
  <si>
    <t xml:space="preserve">CONSUMO ELÉCTRICO MENSUAL — LA SERENA — MAYO 2024</t>
  </si>
  <si>
    <t xml:space="preserve">LA -R-1000</t>
  </si>
  <si>
    <t xml:space="preserve">LA -R-1001</t>
  </si>
  <si>
    <t xml:space="preserve">LA -C-1002</t>
  </si>
  <si>
    <t xml:space="preserve">LA -C-1003</t>
  </si>
  <si>
    <t xml:space="preserve">LA -R-1004</t>
  </si>
  <si>
    <t xml:space="preserve">LA -R-1005</t>
  </si>
  <si>
    <t xml:space="preserve">LA -R-1006</t>
  </si>
  <si>
    <t xml:space="preserve">LA -C-1007</t>
  </si>
  <si>
    <t xml:space="preserve">LA -C-1008</t>
  </si>
  <si>
    <t xml:space="preserve">LA -C-1009</t>
  </si>
  <si>
    <t xml:space="preserve">LA -C-1010</t>
  </si>
  <si>
    <t xml:space="preserve">LA -C-1011</t>
  </si>
  <si>
    <t xml:space="preserve">LA -R-1012</t>
  </si>
  <si>
    <t xml:space="preserve">LA -C-1013</t>
  </si>
  <si>
    <t xml:space="preserve">LA -C-1014</t>
  </si>
  <si>
    <t xml:space="preserve">LA -R-1015</t>
  </si>
  <si>
    <t xml:space="preserve">LA -C-1016</t>
  </si>
  <si>
    <t xml:space="preserve">LA -C-1017</t>
  </si>
  <si>
    <t xml:space="preserve">LA -R-1018</t>
  </si>
  <si>
    <t xml:space="preserve">LA -C-1019</t>
  </si>
  <si>
    <t xml:space="preserve">LA -C-1020</t>
  </si>
  <si>
    <t xml:space="preserve">LA -R-1021</t>
  </si>
  <si>
    <t xml:space="preserve">LA -R-1022</t>
  </si>
  <si>
    <t xml:space="preserve">LA -R-1023</t>
  </si>
  <si>
    <t xml:space="preserve">LA -R-1024</t>
  </si>
  <si>
    <t xml:space="preserve">CONSUMO ELÉCTRICO MENSUAL — ANTOFAGASTA — MAYO 2024</t>
  </si>
  <si>
    <t xml:space="preserve">ANT-C-1000</t>
  </si>
  <si>
    <t xml:space="preserve">ANT-R-1001</t>
  </si>
  <si>
    <t xml:space="preserve">ANT-C-1002</t>
  </si>
  <si>
    <t xml:space="preserve">ANT-C-1003</t>
  </si>
  <si>
    <t xml:space="preserve">ANT-C-1004</t>
  </si>
  <si>
    <t xml:space="preserve">ANT-C-1005</t>
  </si>
  <si>
    <t xml:space="preserve">ANT-R-1006</t>
  </si>
  <si>
    <t xml:space="preserve">ANT-C-1007</t>
  </si>
  <si>
    <t xml:space="preserve">ANT-C-1008</t>
  </si>
  <si>
    <t xml:space="preserve">ANT-R-1009</t>
  </si>
  <si>
    <t xml:space="preserve">ANT-R-1010</t>
  </si>
  <si>
    <t xml:space="preserve">ANT-R-1011</t>
  </si>
  <si>
    <t xml:space="preserve">ANT-R-1012</t>
  </si>
  <si>
    <t xml:space="preserve">ANT-R-1013</t>
  </si>
  <si>
    <t xml:space="preserve">ANT-R-1014</t>
  </si>
  <si>
    <t xml:space="preserve">ANT-R-1015</t>
  </si>
  <si>
    <t xml:space="preserve">ANT-C-1016</t>
  </si>
  <si>
    <t xml:space="preserve">ANT-R-1017</t>
  </si>
  <si>
    <t xml:space="preserve">ANT-C-1018</t>
  </si>
  <si>
    <t xml:space="preserve">ANT-C-1019</t>
  </si>
  <si>
    <t xml:space="preserve">ANT-C-1020</t>
  </si>
  <si>
    <t xml:space="preserve">ANT-R-1021</t>
  </si>
  <si>
    <t xml:space="preserve">ANT-C-1022</t>
  </si>
  <si>
    <t xml:space="preserve">ANT-C-1023</t>
  </si>
  <si>
    <t xml:space="preserve">ANT-C-1024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</si>
</sst>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5"/>
    <col collapsed="false" customWidth="true" hidden="false" outlineLevel="0" max="5" min="3" style="1" width="16"/>
    <col collapsed="false" customWidth="true" hidden="false" outlineLevel="0" max="6" min="6" style="1" width="18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27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8" hidden="false" customHeight="true" outlineLevel="0" collapsed="false">
      <c r="A3" s="4" t="s">
        <v>7</v>
      </c>
      <c r="B3" s="4" t="s">
        <v>8</v>
      </c>
      <c r="C3" s="4" t="s">
        <v>9</v>
      </c>
      <c r="D3" s="5" t="n">
        <v>1828</v>
      </c>
      <c r="E3" s="5" t="n">
        <v>116</v>
      </c>
      <c r="F3" s="6" t="n">
        <f aca="false">D3*E3</f>
        <v>212048</v>
      </c>
    </row>
    <row r="4" customFormat="false" ht="18" hidden="false" customHeight="true" outlineLevel="0" collapsed="false">
      <c r="A4" s="7" t="s">
        <v>10</v>
      </c>
      <c r="B4" s="7" t="s">
        <v>11</v>
      </c>
      <c r="C4" s="7" t="s">
        <v>12</v>
      </c>
      <c r="D4" s="8" t="n">
        <v>212</v>
      </c>
      <c r="E4" s="8" t="n">
        <v>113</v>
      </c>
      <c r="F4" s="9" t="n">
        <f aca="false">D4*E4</f>
        <v>23956</v>
      </c>
    </row>
    <row r="5" customFormat="false" ht="18" hidden="false" customHeight="true" outlineLevel="0" collapsed="false">
      <c r="A5" s="4" t="s">
        <v>13</v>
      </c>
      <c r="B5" s="4" t="s">
        <v>11</v>
      </c>
      <c r="C5" s="4" t="s">
        <v>12</v>
      </c>
      <c r="D5" s="5" t="s">
        <v>14</v>
      </c>
      <c r="E5" s="5" t="n">
        <v>127.1</v>
      </c>
      <c r="F5" s="6" t="str">
        <f aca="false">IFERROR(D5*E5,"⚠ Error: revisar D5")</f>
        <v>⚠ Error: revisar D5</v>
      </c>
    </row>
    <row r="6" customFormat="false" ht="18" hidden="false" customHeight="true" outlineLevel="0" collapsed="false">
      <c r="A6" s="7" t="s">
        <v>15</v>
      </c>
      <c r="B6" s="7" t="s">
        <v>11</v>
      </c>
      <c r="C6" s="7" t="s">
        <v>12</v>
      </c>
      <c r="D6" s="8" t="n">
        <v>370.2</v>
      </c>
      <c r="E6" s="8" t="n">
        <v>137.6</v>
      </c>
      <c r="F6" s="9" t="n">
        <f aca="false">D6*E6</f>
        <v>50939.52</v>
      </c>
    </row>
    <row r="7" customFormat="false" ht="18" hidden="false" customHeight="true" outlineLevel="0" collapsed="false">
      <c r="A7" s="4" t="s">
        <v>16</v>
      </c>
      <c r="B7" s="4" t="s">
        <v>17</v>
      </c>
      <c r="C7" s="4" t="s">
        <v>12</v>
      </c>
      <c r="D7" s="5" t="n">
        <v>216.5</v>
      </c>
      <c r="E7" s="5" t="n">
        <v>133.1</v>
      </c>
      <c r="F7" s="6" t="n">
        <f aca="false">D7*E7</f>
        <v>28816.15</v>
      </c>
    </row>
    <row r="8" customFormat="false" ht="18" hidden="false" customHeight="true" outlineLevel="0" collapsed="false">
      <c r="A8" s="7" t="s">
        <v>18</v>
      </c>
      <c r="B8" s="7" t="s">
        <v>19</v>
      </c>
      <c r="C8" s="7" t="s">
        <v>9</v>
      </c>
      <c r="D8" s="8" t="n">
        <v>1024</v>
      </c>
      <c r="E8" s="8" t="n">
        <v>120.1</v>
      </c>
      <c r="F8" s="9" t="n">
        <f aca="false">D8*E8</f>
        <v>122982.4</v>
      </c>
    </row>
    <row r="9" customFormat="false" ht="18" hidden="false" customHeight="true" outlineLevel="0" collapsed="false">
      <c r="A9" s="4" t="s">
        <v>20</v>
      </c>
      <c r="B9" s="4" t="s">
        <v>21</v>
      </c>
      <c r="C9" s="4" t="s">
        <v>9</v>
      </c>
      <c r="D9" s="5" t="n">
        <v>1654.2</v>
      </c>
      <c r="E9" s="5" t="n">
        <v>96.5</v>
      </c>
      <c r="F9" s="6" t="n">
        <f aca="false">D9*E9</f>
        <v>159630.3</v>
      </c>
    </row>
    <row r="10" customFormat="false" ht="18" hidden="false" customHeight="true" outlineLevel="0" collapsed="false">
      <c r="A10" s="7" t="s">
        <v>22</v>
      </c>
      <c r="B10" s="7" t="s">
        <v>21</v>
      </c>
      <c r="C10" s="7" t="s">
        <v>12</v>
      </c>
      <c r="D10" s="8" t="n">
        <v>282</v>
      </c>
      <c r="E10" s="8" t="n">
        <v>122.7</v>
      </c>
      <c r="F10" s="9" t="n">
        <f aca="false">D10*E10</f>
        <v>34601.4</v>
      </c>
    </row>
    <row r="11" customFormat="false" ht="18" hidden="false" customHeight="true" outlineLevel="0" collapsed="false">
      <c r="A11" s="4" t="s">
        <v>23</v>
      </c>
      <c r="B11" s="4" t="s">
        <v>17</v>
      </c>
      <c r="C11" s="4" t="s">
        <v>12</v>
      </c>
      <c r="D11" s="5" t="n">
        <v>290.9</v>
      </c>
      <c r="E11" s="5" t="n">
        <v>141.5</v>
      </c>
      <c r="F11" s="6" t="n">
        <f aca="false">D11*E11</f>
        <v>41162.35</v>
      </c>
    </row>
    <row r="12" customFormat="false" ht="18" hidden="false" customHeight="true" outlineLevel="0" collapsed="false">
      <c r="A12" s="7" t="s">
        <v>24</v>
      </c>
      <c r="B12" s="7" t="s">
        <v>8</v>
      </c>
      <c r="C12" s="7" t="s">
        <v>25</v>
      </c>
      <c r="D12" s="8" t="n">
        <v>3437.1</v>
      </c>
      <c r="E12" s="8" t="n">
        <v>107.5</v>
      </c>
      <c r="F12" s="9" t="n">
        <f aca="false">D12*E12</f>
        <v>369488.25</v>
      </c>
    </row>
    <row r="13" customFormat="false" ht="18" hidden="false" customHeight="true" outlineLevel="0" collapsed="false">
      <c r="A13" s="4" t="s">
        <v>26</v>
      </c>
      <c r="B13" s="4" t="s">
        <v>27</v>
      </c>
      <c r="C13" s="4" t="s">
        <v>12</v>
      </c>
      <c r="D13" s="5" t="n">
        <v>359.4</v>
      </c>
      <c r="E13" s="5" t="n">
        <v>125.5</v>
      </c>
      <c r="F13" s="6" t="n">
        <f aca="false">D13*E13</f>
        <v>45104.7</v>
      </c>
    </row>
    <row r="14" customFormat="false" ht="18" hidden="false" customHeight="true" outlineLevel="0" collapsed="false">
      <c r="A14" s="7" t="s">
        <v>28</v>
      </c>
      <c r="B14" s="7" t="s">
        <v>29</v>
      </c>
      <c r="C14" s="7" t="s">
        <v>12</v>
      </c>
      <c r="D14" s="8" t="n">
        <v>188.9</v>
      </c>
      <c r="E14" s="8" t="n">
        <v>110.8</v>
      </c>
      <c r="F14" s="9" t="n">
        <f aca="false">D14*E14</f>
        <v>20930.12</v>
      </c>
    </row>
    <row r="15" customFormat="false" ht="18" hidden="false" customHeight="true" outlineLevel="0" collapsed="false">
      <c r="A15" s="4" t="s">
        <v>30</v>
      </c>
      <c r="B15" s="4" t="s">
        <v>19</v>
      </c>
      <c r="C15" s="4" t="s">
        <v>9</v>
      </c>
      <c r="D15" s="5" t="n">
        <v>1019.1</v>
      </c>
      <c r="E15" s="5" t="n">
        <v>109.9</v>
      </c>
      <c r="F15" s="6" t="n">
        <f aca="false">D15*E15</f>
        <v>111999.09</v>
      </c>
    </row>
    <row r="16" customFormat="false" ht="18" hidden="false" customHeight="true" outlineLevel="0" collapsed="false">
      <c r="A16" s="7" t="s">
        <v>31</v>
      </c>
      <c r="B16" s="7" t="s">
        <v>32</v>
      </c>
      <c r="C16" s="7" t="s">
        <v>12</v>
      </c>
      <c r="D16" s="8" t="n">
        <v>254.4</v>
      </c>
      <c r="E16" s="8" t="n">
        <v>110.2</v>
      </c>
      <c r="F16" s="9" t="n">
        <f aca="false">D16*E16</f>
        <v>28034.88</v>
      </c>
    </row>
    <row r="17" customFormat="false" ht="18" hidden="false" customHeight="true" outlineLevel="0" collapsed="false">
      <c r="A17" s="4" t="s">
        <v>33</v>
      </c>
      <c r="B17" s="4" t="s">
        <v>34</v>
      </c>
      <c r="C17" s="4" t="s">
        <v>12</v>
      </c>
      <c r="D17" s="5" t="n">
        <v>305.6</v>
      </c>
      <c r="E17" s="5" t="n">
        <v>117</v>
      </c>
      <c r="F17" s="6" t="n">
        <f aca="false">D17*E17</f>
        <v>35755.2</v>
      </c>
    </row>
    <row r="18" customFormat="false" ht="18" hidden="false" customHeight="true" outlineLevel="0" collapsed="false">
      <c r="A18" s="7" t="s">
        <v>35</v>
      </c>
      <c r="B18" s="7" t="s">
        <v>27</v>
      </c>
      <c r="C18" s="7" t="s">
        <v>12</v>
      </c>
      <c r="D18" s="8" t="n">
        <v>286.3</v>
      </c>
      <c r="E18" s="8" t="n">
        <v>129.1</v>
      </c>
      <c r="F18" s="9" t="n">
        <f aca="false">D18*E18</f>
        <v>36961.33</v>
      </c>
    </row>
    <row r="19" customFormat="false" ht="18" hidden="false" customHeight="true" outlineLevel="0" collapsed="false">
      <c r="A19" s="4" t="s">
        <v>36</v>
      </c>
      <c r="B19" s="4" t="s">
        <v>34</v>
      </c>
      <c r="C19" s="4" t="s">
        <v>9</v>
      </c>
      <c r="D19" s="5" t="n">
        <v>3341.7</v>
      </c>
      <c r="E19" s="5" t="n">
        <v>111.7</v>
      </c>
      <c r="F19" s="6" t="n">
        <f aca="false">D19*E19</f>
        <v>373267.89</v>
      </c>
    </row>
    <row r="20" customFormat="false" ht="18" hidden="false" customHeight="true" outlineLevel="0" collapsed="false">
      <c r="A20" s="7" t="s">
        <v>37</v>
      </c>
      <c r="B20" s="7" t="s">
        <v>27</v>
      </c>
      <c r="C20" s="7" t="s">
        <v>12</v>
      </c>
      <c r="D20" s="8"/>
      <c r="E20" s="8" t="n">
        <v>135.1</v>
      </c>
      <c r="F20" s="9" t="n">
        <f aca="false">D20*E20</f>
        <v>0</v>
      </c>
    </row>
    <row r="21" customFormat="false" ht="18" hidden="false" customHeight="true" outlineLevel="0" collapsed="false">
      <c r="A21" s="4" t="s">
        <v>38</v>
      </c>
      <c r="B21" s="4" t="s">
        <v>39</v>
      </c>
      <c r="C21" s="4" t="s">
        <v>9</v>
      </c>
      <c r="D21" s="5" t="n">
        <v>1135.8</v>
      </c>
      <c r="E21" s="5" t="n">
        <v>99.2</v>
      </c>
      <c r="F21" s="6" t="n">
        <f aca="false">D21*E21</f>
        <v>112671.36</v>
      </c>
    </row>
    <row r="22" customFormat="false" ht="18" hidden="false" customHeight="true" outlineLevel="0" collapsed="false">
      <c r="A22" s="7" t="s">
        <v>40</v>
      </c>
      <c r="B22" s="7" t="s">
        <v>8</v>
      </c>
      <c r="C22" s="7" t="s">
        <v>12</v>
      </c>
      <c r="D22" s="8" t="n">
        <v>417.9</v>
      </c>
      <c r="E22" s="8" t="n">
        <v>124.3</v>
      </c>
      <c r="F22" s="9" t="n">
        <f aca="false">D22*E22</f>
        <v>51944.97</v>
      </c>
    </row>
    <row r="23" customFormat="false" ht="18" hidden="false" customHeight="true" outlineLevel="0" collapsed="false">
      <c r="A23" s="4" t="s">
        <v>41</v>
      </c>
      <c r="B23" s="4" t="s">
        <v>39</v>
      </c>
      <c r="C23" s="4" t="s">
        <v>9</v>
      </c>
      <c r="D23" s="5" t="n">
        <v>2880.5</v>
      </c>
      <c r="E23" s="5" t="n">
        <v>122.9</v>
      </c>
      <c r="F23" s="6" t="n">
        <f aca="false">D23*E23</f>
        <v>354013.45</v>
      </c>
    </row>
    <row r="24" customFormat="false" ht="18" hidden="false" customHeight="true" outlineLevel="0" collapsed="false">
      <c r="A24" s="7" t="s">
        <v>42</v>
      </c>
      <c r="B24" s="7" t="s">
        <v>19</v>
      </c>
      <c r="C24" s="7" t="s">
        <v>12</v>
      </c>
      <c r="D24" s="8" t="n">
        <v>385.9</v>
      </c>
      <c r="E24" s="8" t="n">
        <v>122.7</v>
      </c>
      <c r="F24" s="9" t="n">
        <f aca="false">D24*E24</f>
        <v>47349.93</v>
      </c>
    </row>
    <row r="25" customFormat="false" ht="18" hidden="false" customHeight="true" outlineLevel="0" collapsed="false">
      <c r="A25" s="4" t="s">
        <v>43</v>
      </c>
      <c r="B25" s="4" t="s">
        <v>32</v>
      </c>
      <c r="C25" s="4" t="s">
        <v>9</v>
      </c>
      <c r="D25" s="5" t="n">
        <v>830.1</v>
      </c>
      <c r="E25" s="5" t="n">
        <v>124.1</v>
      </c>
      <c r="F25" s="6" t="n">
        <f aca="false">D25*E25</f>
        <v>103015.41</v>
      </c>
    </row>
    <row r="26" customFormat="false" ht="18" hidden="false" customHeight="true" outlineLevel="0" collapsed="false">
      <c r="A26" s="7" t="s">
        <v>44</v>
      </c>
      <c r="B26" s="7" t="s">
        <v>11</v>
      </c>
      <c r="C26" s="7" t="s">
        <v>12</v>
      </c>
      <c r="D26" s="8" t="n">
        <v>270.5</v>
      </c>
      <c r="E26" s="8" t="n">
        <v>121.8</v>
      </c>
      <c r="F26" s="9" t="n">
        <f aca="false">D26*E26</f>
        <v>32946.9</v>
      </c>
    </row>
    <row r="27" customFormat="false" ht="18" hidden="false" customHeight="true" outlineLevel="0" collapsed="false">
      <c r="A27" s="4" t="s">
        <v>45</v>
      </c>
      <c r="B27" s="4" t="s">
        <v>19</v>
      </c>
      <c r="C27" s="4" t="s">
        <v>9</v>
      </c>
      <c r="D27" s="5" t="n">
        <v>1918</v>
      </c>
      <c r="E27" s="5" t="n">
        <v>108</v>
      </c>
      <c r="F27" s="6" t="n">
        <f aca="false">D27*E27</f>
        <v>207144</v>
      </c>
    </row>
    <row r="28" customFormat="false" ht="18" hidden="false" customHeight="true" outlineLevel="0" collapsed="false">
      <c r="A28" s="7" t="s">
        <v>46</v>
      </c>
      <c r="B28" s="7" t="s">
        <v>11</v>
      </c>
      <c r="C28" s="7" t="s">
        <v>12</v>
      </c>
      <c r="D28" s="8" t="n">
        <v>391.1</v>
      </c>
      <c r="E28" s="8" t="n">
        <v>142.3</v>
      </c>
      <c r="F28" s="9" t="n">
        <f aca="false">D28*E28</f>
        <v>55653.53</v>
      </c>
    </row>
    <row r="29" customFormat="false" ht="18" hidden="false" customHeight="true" outlineLevel="0" collapsed="false">
      <c r="A29" s="4" t="s">
        <v>47</v>
      </c>
      <c r="B29" s="4" t="s">
        <v>8</v>
      </c>
      <c r="C29" s="4" t="s">
        <v>9</v>
      </c>
      <c r="D29" s="5" t="n">
        <v>1421.6</v>
      </c>
      <c r="E29" s="5" t="n">
        <v>124.9</v>
      </c>
      <c r="F29" s="6" t="n">
        <f aca="false">D29*E29</f>
        <v>177557.84</v>
      </c>
    </row>
    <row r="30" customFormat="false" ht="18" hidden="false" customHeight="true" outlineLevel="0" collapsed="false">
      <c r="A30" s="7" t="s">
        <v>48</v>
      </c>
      <c r="B30" s="7" t="s">
        <v>32</v>
      </c>
      <c r="C30" s="7" t="s">
        <v>9</v>
      </c>
      <c r="D30" s="8" t="n">
        <v>1085.5</v>
      </c>
      <c r="E30" s="8" t="n">
        <v>119.1</v>
      </c>
      <c r="F30" s="9" t="n">
        <f aca="false">D30*E30</f>
        <v>129283.05</v>
      </c>
    </row>
    <row r="31" customFormat="false" ht="18" hidden="false" customHeight="true" outlineLevel="0" collapsed="false">
      <c r="A31" s="4" t="s">
        <v>49</v>
      </c>
      <c r="B31" s="4" t="s">
        <v>8</v>
      </c>
      <c r="C31" s="4" t="s">
        <v>12</v>
      </c>
      <c r="D31" s="5" t="n">
        <v>363.4</v>
      </c>
      <c r="E31" s="5" t="n">
        <v>134.9</v>
      </c>
      <c r="F31" s="6" t="n">
        <f aca="false">D31*E31</f>
        <v>49022.66</v>
      </c>
    </row>
    <row r="32" customFormat="false" ht="18" hidden="false" customHeight="true" outlineLevel="0" collapsed="false">
      <c r="A32" s="7" t="s">
        <v>50</v>
      </c>
      <c r="B32" s="7" t="s">
        <v>19</v>
      </c>
      <c r="C32" s="7" t="s">
        <v>9</v>
      </c>
      <c r="D32" s="8" t="n">
        <v>1600.2</v>
      </c>
      <c r="E32" s="8" t="n">
        <v>121.3</v>
      </c>
      <c r="F32" s="9" t="n">
        <f aca="false">D32*E32</f>
        <v>194104.26</v>
      </c>
    </row>
    <row r="33" customFormat="false" ht="18" hidden="false" customHeight="true" outlineLevel="0" collapsed="false">
      <c r="A33" s="4" t="s">
        <v>51</v>
      </c>
      <c r="B33" s="4" t="s">
        <v>19</v>
      </c>
      <c r="C33" s="4" t="s">
        <v>9</v>
      </c>
      <c r="D33" s="5" t="n">
        <v>1937</v>
      </c>
      <c r="E33" s="5" t="n">
        <v>126.8</v>
      </c>
      <c r="F33" s="6" t="n">
        <f aca="false">D33*E33</f>
        <v>245611.6</v>
      </c>
    </row>
    <row r="34" customFormat="false" ht="18" hidden="false" customHeight="true" outlineLevel="0" collapsed="false">
      <c r="A34" s="7" t="s">
        <v>52</v>
      </c>
      <c r="B34" s="7" t="s">
        <v>29</v>
      </c>
      <c r="C34" s="7" t="s">
        <v>9</v>
      </c>
      <c r="D34" s="8" t="n">
        <v>3249.5</v>
      </c>
      <c r="E34" s="8" t="n">
        <v>125.6</v>
      </c>
      <c r="F34" s="9" t="n">
        <f aca="false">D34*E34</f>
        <v>408137.2</v>
      </c>
    </row>
    <row r="35" customFormat="false" ht="18" hidden="false" customHeight="true" outlineLevel="0" collapsed="false">
      <c r="A35" s="4" t="s">
        <v>53</v>
      </c>
      <c r="B35" s="4" t="s">
        <v>39</v>
      </c>
      <c r="C35" s="4" t="s">
        <v>12</v>
      </c>
      <c r="D35" s="5" t="n">
        <v>403.2</v>
      </c>
      <c r="E35" s="5" t="n">
        <v>119</v>
      </c>
      <c r="F35" s="6" t="n">
        <f aca="false">D35*E35</f>
        <v>47980.8</v>
      </c>
    </row>
    <row r="36" customFormat="false" ht="18" hidden="false" customHeight="true" outlineLevel="0" collapsed="false">
      <c r="A36" s="7" t="s">
        <v>54</v>
      </c>
      <c r="B36" s="7" t="s">
        <v>27</v>
      </c>
      <c r="C36" s="7" t="s">
        <v>9</v>
      </c>
      <c r="D36" s="8" t="n">
        <v>3413.9</v>
      </c>
      <c r="E36" s="8" t="n">
        <v>123.9</v>
      </c>
      <c r="F36" s="9" t="n">
        <f aca="false">D36*E36</f>
        <v>422982.21</v>
      </c>
    </row>
    <row r="37" customFormat="false" ht="18" hidden="false" customHeight="true" outlineLevel="0" collapsed="false">
      <c r="A37" s="4" t="s">
        <v>55</v>
      </c>
      <c r="B37" s="4" t="s">
        <v>17</v>
      </c>
      <c r="C37" s="4" t="s">
        <v>9</v>
      </c>
      <c r="D37" s="5" t="n">
        <v>1823.2</v>
      </c>
      <c r="E37" s="5" t="n">
        <v>118.7</v>
      </c>
      <c r="F37" s="6" t="n">
        <f aca="false">D37*E37</f>
        <v>216413.84</v>
      </c>
    </row>
    <row r="38" customFormat="false" ht="18" hidden="false" customHeight="true" outlineLevel="0" collapsed="false">
      <c r="A38" s="7" t="s">
        <v>56</v>
      </c>
      <c r="B38" s="7" t="s">
        <v>8</v>
      </c>
      <c r="C38" s="7" t="s">
        <v>9</v>
      </c>
      <c r="D38" s="8" t="n">
        <v>1325.1</v>
      </c>
      <c r="E38" s="8" t="n">
        <v>106.8</v>
      </c>
      <c r="F38" s="9" t="n">
        <f aca="false">D38*E38</f>
        <v>141520.68</v>
      </c>
    </row>
    <row r="39" customFormat="false" ht="18" hidden="false" customHeight="true" outlineLevel="0" collapsed="false">
      <c r="A39" s="4" t="s">
        <v>57</v>
      </c>
      <c r="B39" s="4" t="s">
        <v>39</v>
      </c>
      <c r="C39" s="4" t="s">
        <v>9</v>
      </c>
      <c r="D39" s="5" t="n">
        <v>811.6</v>
      </c>
      <c r="E39" s="5" t="n">
        <v>107.4</v>
      </c>
      <c r="F39" s="6" t="n">
        <f aca="false">D39*E39</f>
        <v>87165.84</v>
      </c>
    </row>
    <row r="40" customFormat="false" ht="18" hidden="false" customHeight="true" outlineLevel="0" collapsed="false">
      <c r="A40" s="7" t="s">
        <v>58</v>
      </c>
      <c r="B40" s="7" t="s">
        <v>39</v>
      </c>
      <c r="C40" s="7" t="s">
        <v>12</v>
      </c>
      <c r="D40" s="8" t="n">
        <v>393.9</v>
      </c>
      <c r="E40" s="8" t="n">
        <v>133.4</v>
      </c>
      <c r="F40" s="9" t="n">
        <f aca="false">D40*E40</f>
        <v>52546.26</v>
      </c>
    </row>
    <row r="41" customFormat="false" ht="18" hidden="false" customHeight="true" outlineLevel="0" collapsed="false">
      <c r="A41" s="4" t="s">
        <v>59</v>
      </c>
      <c r="B41" s="4" t="s">
        <v>8</v>
      </c>
      <c r="C41" s="4" t="s">
        <v>9</v>
      </c>
      <c r="D41" s="5" t="n">
        <v>2806.1</v>
      </c>
      <c r="E41" s="5" t="n">
        <v>125.3</v>
      </c>
      <c r="F41" s="6" t="n">
        <f aca="false">D41*E41</f>
        <v>351604.33</v>
      </c>
    </row>
    <row r="42" customFormat="false" ht="18" hidden="false" customHeight="true" outlineLevel="0" collapsed="false">
      <c r="A42" s="7" t="s">
        <v>60</v>
      </c>
      <c r="B42" s="7" t="s">
        <v>11</v>
      </c>
      <c r="C42" s="7" t="s">
        <v>9</v>
      </c>
      <c r="D42" s="8" t="n">
        <v>3123.4</v>
      </c>
      <c r="E42" s="8" t="n">
        <v>107.1</v>
      </c>
      <c r="F42" s="9" t="n">
        <f aca="false">D42*E42</f>
        <v>334516.14</v>
      </c>
    </row>
    <row r="43" customFormat="false" ht="21.75" hidden="false" customHeight="true" outlineLevel="0" collapsed="false">
      <c r="A43" s="10" t="s">
        <v>61</v>
      </c>
      <c r="B43" s="10"/>
      <c r="C43" s="10"/>
      <c r="D43" s="11" t="n">
        <f aca="false">SUMIF(D3:D42,"&lt;&gt;N/D",D3:D42)</f>
        <v>47057.7</v>
      </c>
      <c r="E43" s="12" t="s">
        <v>62</v>
      </c>
      <c r="F43" s="12" t="n">
        <f aca="false">SUMIF(D3:D42,"&lt;&gt;N/D",F3:F42)</f>
        <v>5518863.84</v>
      </c>
    </row>
  </sheetData>
  <mergeCells count="2">
    <mergeCell ref="A1:F1"/>
    <mergeCell ref="A43:C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5"/>
    <col collapsed="false" customWidth="true" hidden="false" outlineLevel="0" max="5" min="3" style="1" width="16"/>
    <col collapsed="false" customWidth="true" hidden="false" outlineLevel="0" max="6" min="6" style="1" width="18"/>
  </cols>
  <sheetData>
    <row r="1" customFormat="false" ht="33.75" hidden="false" customHeight="true" outlineLevel="0" collapsed="false">
      <c r="A1" s="2" t="s">
        <v>63</v>
      </c>
      <c r="B1" s="2"/>
      <c r="C1" s="2"/>
      <c r="D1" s="2"/>
      <c r="E1" s="2"/>
      <c r="F1" s="2"/>
    </row>
    <row r="2" customFormat="false" ht="27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8" hidden="false" customHeight="true" outlineLevel="0" collapsed="false">
      <c r="A3" s="4" t="s">
        <v>64</v>
      </c>
      <c r="B3" s="4" t="s">
        <v>34</v>
      </c>
      <c r="C3" s="4" t="s">
        <v>12</v>
      </c>
      <c r="D3" s="5" t="n">
        <v>175.8</v>
      </c>
      <c r="E3" s="5" t="n">
        <v>128.6</v>
      </c>
      <c r="F3" s="6" t="n">
        <f aca="false">D3*E3</f>
        <v>22607.88</v>
      </c>
    </row>
    <row r="4" customFormat="false" ht="18" hidden="false" customHeight="true" outlineLevel="0" collapsed="false">
      <c r="A4" s="7" t="s">
        <v>65</v>
      </c>
      <c r="B4" s="7" t="s">
        <v>27</v>
      </c>
      <c r="C4" s="7" t="s">
        <v>9</v>
      </c>
      <c r="D4" s="8" t="n">
        <v>2689.8</v>
      </c>
      <c r="E4" s="8" t="n">
        <v>129.2</v>
      </c>
      <c r="F4" s="9" t="n">
        <f aca="false">D4*E4</f>
        <v>347522.16</v>
      </c>
    </row>
    <row r="5" customFormat="false" ht="18" hidden="false" customHeight="true" outlineLevel="0" collapsed="false">
      <c r="A5" s="4" t="s">
        <v>66</v>
      </c>
      <c r="B5" s="4" t="s">
        <v>11</v>
      </c>
      <c r="C5" s="4" t="s">
        <v>9</v>
      </c>
      <c r="D5" s="5" t="n">
        <v>2652.8</v>
      </c>
      <c r="E5" s="5" t="n">
        <v>104.2</v>
      </c>
      <c r="F5" s="6" t="n">
        <f aca="false">D5*E5</f>
        <v>276421.76</v>
      </c>
    </row>
    <row r="6" customFormat="false" ht="18" hidden="false" customHeight="true" outlineLevel="0" collapsed="false">
      <c r="A6" s="7" t="s">
        <v>67</v>
      </c>
      <c r="B6" s="7" t="s">
        <v>17</v>
      </c>
      <c r="C6" s="7" t="s">
        <v>9</v>
      </c>
      <c r="D6" s="8" t="n">
        <v>1832.8</v>
      </c>
      <c r="E6" s="8" t="n">
        <v>116.9</v>
      </c>
      <c r="F6" s="9" t="n">
        <f aca="false">D6*E6</f>
        <v>214254.32</v>
      </c>
    </row>
    <row r="7" customFormat="false" ht="18" hidden="false" customHeight="true" outlineLevel="0" collapsed="false">
      <c r="A7" s="4" t="s">
        <v>68</v>
      </c>
      <c r="B7" s="4" t="s">
        <v>19</v>
      </c>
      <c r="C7" s="4" t="s">
        <v>9</v>
      </c>
      <c r="D7" s="5" t="n">
        <v>1040.6</v>
      </c>
      <c r="E7" s="5" t="n">
        <v>95.7</v>
      </c>
      <c r="F7" s="6" t="n">
        <f aca="false">D7*E7</f>
        <v>99585.42</v>
      </c>
    </row>
    <row r="8" customFormat="false" ht="18" hidden="false" customHeight="true" outlineLevel="0" collapsed="false">
      <c r="A8" s="7" t="s">
        <v>69</v>
      </c>
      <c r="B8" s="7" t="s">
        <v>34</v>
      </c>
      <c r="C8" s="7" t="s">
        <v>9</v>
      </c>
      <c r="D8" s="8" t="n">
        <v>766.3</v>
      </c>
      <c r="E8" s="8" t="n">
        <v>96.1</v>
      </c>
      <c r="F8" s="9" t="n">
        <f aca="false">D8*E8</f>
        <v>73641.43</v>
      </c>
    </row>
    <row r="9" customFormat="false" ht="18" hidden="false" customHeight="true" outlineLevel="0" collapsed="false">
      <c r="A9" s="4" t="s">
        <v>70</v>
      </c>
      <c r="B9" s="4" t="s">
        <v>17</v>
      </c>
      <c r="C9" s="4" t="s">
        <v>9</v>
      </c>
      <c r="D9" s="5" t="n">
        <v>1259.4</v>
      </c>
      <c r="E9" s="5" t="n">
        <v>129</v>
      </c>
      <c r="F9" s="6" t="n">
        <f aca="false">D9*E9</f>
        <v>162462.6</v>
      </c>
    </row>
    <row r="10" customFormat="false" ht="18" hidden="false" customHeight="true" outlineLevel="0" collapsed="false">
      <c r="A10" s="7" t="s">
        <v>71</v>
      </c>
      <c r="B10" s="7" t="s">
        <v>11</v>
      </c>
      <c r="C10" s="7" t="s">
        <v>9</v>
      </c>
      <c r="D10" s="8" t="n">
        <v>1026.8</v>
      </c>
      <c r="E10" s="8" t="n">
        <v>98.5</v>
      </c>
      <c r="F10" s="9" t="n">
        <f aca="false">D10*E10</f>
        <v>101139.8</v>
      </c>
    </row>
    <row r="11" customFormat="false" ht="18" hidden="false" customHeight="true" outlineLevel="0" collapsed="false">
      <c r="A11" s="4" t="s">
        <v>72</v>
      </c>
      <c r="B11" s="4" t="s">
        <v>32</v>
      </c>
      <c r="C11" s="4" t="s">
        <v>9</v>
      </c>
      <c r="D11" s="5" t="n">
        <v>2336.3</v>
      </c>
      <c r="E11" s="5" t="n">
        <v>104.3</v>
      </c>
      <c r="F11" s="6" t="n">
        <f aca="false">D11*E11</f>
        <v>243676.09</v>
      </c>
    </row>
    <row r="12" customFormat="false" ht="18" hidden="false" customHeight="true" outlineLevel="0" collapsed="false">
      <c r="A12" s="7" t="s">
        <v>73</v>
      </c>
      <c r="B12" s="7" t="s">
        <v>11</v>
      </c>
      <c r="C12" s="7" t="s">
        <v>12</v>
      </c>
      <c r="D12" s="8" t="n">
        <v>351.9</v>
      </c>
      <c r="E12" s="8" t="n">
        <v>141.6</v>
      </c>
      <c r="F12" s="9" t="n">
        <f aca="false">D12*E12</f>
        <v>49829.04</v>
      </c>
    </row>
    <row r="13" customFormat="false" ht="18" hidden="false" customHeight="true" outlineLevel="0" collapsed="false">
      <c r="A13" s="4" t="s">
        <v>74</v>
      </c>
      <c r="B13" s="4" t="s">
        <v>32</v>
      </c>
      <c r="C13" s="4" t="s">
        <v>9</v>
      </c>
      <c r="D13" s="5" t="n">
        <v>1836.1</v>
      </c>
      <c r="E13" s="5" t="n">
        <v>120</v>
      </c>
      <c r="F13" s="6" t="n">
        <f aca="false">D13*E13</f>
        <v>220332</v>
      </c>
    </row>
    <row r="14" customFormat="false" ht="18" hidden="false" customHeight="true" outlineLevel="0" collapsed="false">
      <c r="A14" s="7" t="s">
        <v>75</v>
      </c>
      <c r="B14" s="7" t="s">
        <v>11</v>
      </c>
      <c r="C14" s="7" t="s">
        <v>9</v>
      </c>
      <c r="D14" s="8" t="n">
        <v>1056.7</v>
      </c>
      <c r="E14" s="8" t="n">
        <v>111.2</v>
      </c>
      <c r="F14" s="9" t="n">
        <f aca="false">D14*E14</f>
        <v>117505.04</v>
      </c>
    </row>
    <row r="15" customFormat="false" ht="18" hidden="false" customHeight="true" outlineLevel="0" collapsed="false">
      <c r="A15" s="4" t="s">
        <v>76</v>
      </c>
      <c r="B15" s="4" t="s">
        <v>29</v>
      </c>
      <c r="C15" s="4" t="s">
        <v>12</v>
      </c>
      <c r="D15" s="5" t="n">
        <v>340.1</v>
      </c>
      <c r="E15" s="5" t="n">
        <v>142.8</v>
      </c>
      <c r="F15" s="6" t="n">
        <f aca="false">D15*E15</f>
        <v>48566.28</v>
      </c>
    </row>
    <row r="16" customFormat="false" ht="18" hidden="false" customHeight="true" outlineLevel="0" collapsed="false">
      <c r="A16" s="7" t="s">
        <v>77</v>
      </c>
      <c r="B16" s="7" t="s">
        <v>21</v>
      </c>
      <c r="C16" s="7" t="s">
        <v>9</v>
      </c>
      <c r="D16" s="8" t="n">
        <v>2063</v>
      </c>
      <c r="E16" s="8" t="n">
        <v>129.3</v>
      </c>
      <c r="F16" s="9" t="n">
        <f aca="false">D16*E16</f>
        <v>266745.9</v>
      </c>
    </row>
    <row r="17" customFormat="false" ht="18" hidden="false" customHeight="true" outlineLevel="0" collapsed="false">
      <c r="A17" s="4" t="s">
        <v>78</v>
      </c>
      <c r="B17" s="4" t="s">
        <v>19</v>
      </c>
      <c r="C17" s="4" t="s">
        <v>12</v>
      </c>
      <c r="D17" s="5" t="n">
        <v>379.4</v>
      </c>
      <c r="E17" s="5" t="n">
        <v>128.3</v>
      </c>
      <c r="F17" s="6" t="n">
        <f aca="false">D17*E17</f>
        <v>48677.02</v>
      </c>
    </row>
    <row r="18" customFormat="false" ht="18" hidden="false" customHeight="true" outlineLevel="0" collapsed="false">
      <c r="A18" s="7" t="s">
        <v>79</v>
      </c>
      <c r="B18" s="7" t="s">
        <v>34</v>
      </c>
      <c r="C18" s="7" t="s">
        <v>9</v>
      </c>
      <c r="D18" s="8" t="n">
        <v>2351.8</v>
      </c>
      <c r="E18" s="8" t="n">
        <v>97.5</v>
      </c>
      <c r="F18" s="9" t="n">
        <f aca="false">D18*E18</f>
        <v>229300.5</v>
      </c>
    </row>
    <row r="19" customFormat="false" ht="18" hidden="false" customHeight="true" outlineLevel="0" collapsed="false">
      <c r="A19" s="4" t="s">
        <v>80</v>
      </c>
      <c r="B19" s="4" t="s">
        <v>11</v>
      </c>
      <c r="C19" s="4" t="s">
        <v>9</v>
      </c>
      <c r="D19" s="5" t="n">
        <v>1993.7</v>
      </c>
      <c r="E19" s="5" t="n">
        <v>115.4</v>
      </c>
      <c r="F19" s="6" t="n">
        <f aca="false">D19*E19</f>
        <v>230072.98</v>
      </c>
    </row>
    <row r="20" customFormat="false" ht="18" hidden="false" customHeight="true" outlineLevel="0" collapsed="false">
      <c r="A20" s="7" t="s">
        <v>81</v>
      </c>
      <c r="B20" s="7" t="s">
        <v>34</v>
      </c>
      <c r="C20" s="7" t="s">
        <v>9</v>
      </c>
      <c r="D20" s="8" t="n">
        <v>965.2</v>
      </c>
      <c r="E20" s="8" t="n">
        <v>115.6</v>
      </c>
      <c r="F20" s="9" t="n">
        <f aca="false">D20*E20</f>
        <v>111577.12</v>
      </c>
    </row>
    <row r="21" customFormat="false" ht="18" hidden="false" customHeight="true" outlineLevel="0" collapsed="false">
      <c r="A21" s="4" t="s">
        <v>82</v>
      </c>
      <c r="B21" s="4" t="s">
        <v>8</v>
      </c>
      <c r="C21" s="4" t="s">
        <v>9</v>
      </c>
      <c r="D21" s="5" t="n">
        <v>679.5</v>
      </c>
      <c r="E21" s="5" t="n">
        <v>107</v>
      </c>
      <c r="F21" s="6" t="n">
        <f aca="false">D21*E21</f>
        <v>72706.5</v>
      </c>
    </row>
    <row r="22" customFormat="false" ht="18" hidden="false" customHeight="true" outlineLevel="0" collapsed="false">
      <c r="A22" s="7" t="s">
        <v>83</v>
      </c>
      <c r="B22" s="7" t="s">
        <v>11</v>
      </c>
      <c r="C22" s="7" t="s">
        <v>9</v>
      </c>
      <c r="D22" s="8" t="n">
        <v>948.7</v>
      </c>
      <c r="E22" s="8" t="n">
        <v>110.4</v>
      </c>
      <c r="F22" s="9" t="n">
        <f aca="false">D22*E22</f>
        <v>104736.48</v>
      </c>
    </row>
    <row r="23" customFormat="false" ht="18" hidden="false" customHeight="true" outlineLevel="0" collapsed="false">
      <c r="A23" s="4" t="s">
        <v>84</v>
      </c>
      <c r="B23" s="4" t="s">
        <v>27</v>
      </c>
      <c r="C23" s="4" t="s">
        <v>12</v>
      </c>
      <c r="D23" s="5" t="n">
        <v>335.2</v>
      </c>
      <c r="E23" s="5" t="n">
        <v>114.1</v>
      </c>
      <c r="F23" s="6" t="n">
        <f aca="false">D23*E23</f>
        <v>38246.32</v>
      </c>
    </row>
    <row r="24" customFormat="false" ht="18" hidden="false" customHeight="true" outlineLevel="0" collapsed="false">
      <c r="A24" s="7" t="s">
        <v>85</v>
      </c>
      <c r="B24" s="7" t="s">
        <v>21</v>
      </c>
      <c r="C24" s="7" t="s">
        <v>9</v>
      </c>
      <c r="D24" s="8" t="n">
        <v>1206.1</v>
      </c>
      <c r="E24" s="8" t="n">
        <v>107.8</v>
      </c>
      <c r="F24" s="9" t="n">
        <f aca="false">D24*E24</f>
        <v>130017.58</v>
      </c>
    </row>
    <row r="25" customFormat="false" ht="18" hidden="false" customHeight="true" outlineLevel="0" collapsed="false">
      <c r="A25" s="4" t="s">
        <v>86</v>
      </c>
      <c r="B25" s="4" t="s">
        <v>32</v>
      </c>
      <c r="C25" s="4" t="s">
        <v>12</v>
      </c>
      <c r="D25" s="5" t="n">
        <v>328.4</v>
      </c>
      <c r="E25" s="5" t="n">
        <v>116.1</v>
      </c>
      <c r="F25" s="6" t="n">
        <f aca="false">D25*E25</f>
        <v>38127.24</v>
      </c>
    </row>
    <row r="26" customFormat="false" ht="18" hidden="false" customHeight="true" outlineLevel="0" collapsed="false">
      <c r="A26" s="7" t="s">
        <v>87</v>
      </c>
      <c r="B26" s="7" t="s">
        <v>27</v>
      </c>
      <c r="C26" s="7" t="s">
        <v>12</v>
      </c>
      <c r="D26" s="8" t="n">
        <v>321</v>
      </c>
      <c r="E26" s="8" t="n">
        <v>114</v>
      </c>
      <c r="F26" s="9" t="n">
        <f aca="false">D26*E26</f>
        <v>36594</v>
      </c>
    </row>
    <row r="27" customFormat="false" ht="18" hidden="false" customHeight="true" outlineLevel="0" collapsed="false">
      <c r="A27" s="4" t="s">
        <v>88</v>
      </c>
      <c r="B27" s="4" t="s">
        <v>21</v>
      </c>
      <c r="C27" s="4" t="s">
        <v>12</v>
      </c>
      <c r="D27" s="5" t="n">
        <v>184.5</v>
      </c>
      <c r="E27" s="5" t="n">
        <v>113</v>
      </c>
      <c r="F27" s="6" t="n">
        <f aca="false">D27*E27</f>
        <v>20848.5</v>
      </c>
    </row>
    <row r="28" customFormat="false" ht="18" hidden="false" customHeight="true" outlineLevel="0" collapsed="false">
      <c r="A28" s="7" t="s">
        <v>89</v>
      </c>
      <c r="B28" s="7" t="s">
        <v>8</v>
      </c>
      <c r="C28" s="7" t="s">
        <v>9</v>
      </c>
      <c r="D28" s="8" t="n">
        <v>966.4</v>
      </c>
      <c r="E28" s="8" t="n">
        <v>125.5</v>
      </c>
      <c r="F28" s="9" t="n">
        <f aca="false">D28*E28</f>
        <v>121283.2</v>
      </c>
    </row>
    <row r="29" customFormat="false" ht="18" hidden="false" customHeight="true" outlineLevel="0" collapsed="false">
      <c r="A29" s="4" t="s">
        <v>90</v>
      </c>
      <c r="B29" s="4" t="s">
        <v>32</v>
      </c>
      <c r="C29" s="4" t="s">
        <v>12</v>
      </c>
      <c r="D29" s="5" t="n">
        <v>228.2</v>
      </c>
      <c r="E29" s="5" t="n">
        <v>111.8</v>
      </c>
      <c r="F29" s="6" t="n">
        <f aca="false">D29*E29</f>
        <v>25512.76</v>
      </c>
    </row>
    <row r="30" customFormat="false" ht="18" hidden="false" customHeight="true" outlineLevel="0" collapsed="false">
      <c r="A30" s="7" t="s">
        <v>91</v>
      </c>
      <c r="B30" s="7" t="s">
        <v>19</v>
      </c>
      <c r="C30" s="7" t="s">
        <v>9</v>
      </c>
      <c r="D30" s="8" t="n">
        <v>1013.6</v>
      </c>
      <c r="E30" s="8" t="n">
        <v>101.3</v>
      </c>
      <c r="F30" s="9" t="n">
        <f aca="false">D30*E30</f>
        <v>102677.68</v>
      </c>
    </row>
    <row r="31" customFormat="false" ht="18" hidden="false" customHeight="true" outlineLevel="0" collapsed="false">
      <c r="A31" s="4" t="s">
        <v>92</v>
      </c>
      <c r="B31" s="4" t="s">
        <v>34</v>
      </c>
      <c r="C31" s="4" t="s">
        <v>12</v>
      </c>
      <c r="D31" s="5" t="n">
        <v>264.2</v>
      </c>
      <c r="E31" s="5" t="n">
        <v>143.8</v>
      </c>
      <c r="F31" s="6" t="n">
        <f aca="false">D31*E31</f>
        <v>37991.96</v>
      </c>
    </row>
    <row r="32" customFormat="false" ht="18" hidden="false" customHeight="true" outlineLevel="0" collapsed="false">
      <c r="A32" s="7" t="s">
        <v>93</v>
      </c>
      <c r="B32" s="7" t="s">
        <v>19</v>
      </c>
      <c r="C32" s="7" t="s">
        <v>12</v>
      </c>
      <c r="D32" s="8" t="n">
        <v>236.7</v>
      </c>
      <c r="E32" s="8" t="n">
        <v>133.9</v>
      </c>
      <c r="F32" s="9" t="n">
        <f aca="false">D32*E32</f>
        <v>31694.13</v>
      </c>
    </row>
    <row r="33" customFormat="false" ht="21.75" hidden="false" customHeight="true" outlineLevel="0" collapsed="false">
      <c r="A33" s="10" t="s">
        <v>61</v>
      </c>
      <c r="B33" s="10"/>
      <c r="C33" s="10"/>
      <c r="D33" s="11" t="n">
        <f aca="false">SUM(D3:D32)</f>
        <v>31831</v>
      </c>
      <c r="E33" s="12" t="s">
        <v>62</v>
      </c>
      <c r="F33" s="12" t="n">
        <f aca="false">SUM(F3:F32)</f>
        <v>3624353.69</v>
      </c>
    </row>
  </sheetData>
  <mergeCells count="2">
    <mergeCell ref="A1:F1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5"/>
    <col collapsed="false" customWidth="true" hidden="false" outlineLevel="0" max="5" min="3" style="1" width="16"/>
    <col collapsed="false" customWidth="true" hidden="false" outlineLevel="0" max="6" min="6" style="1" width="18"/>
  </cols>
  <sheetData>
    <row r="1" customFormat="false" ht="33.75" hidden="false" customHeight="true" outlineLevel="0" collapsed="false">
      <c r="A1" s="2" t="s">
        <v>94</v>
      </c>
      <c r="B1" s="2"/>
      <c r="C1" s="2"/>
      <c r="D1" s="2"/>
      <c r="E1" s="2"/>
      <c r="F1" s="2"/>
    </row>
    <row r="2" customFormat="false" ht="27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8" hidden="false" customHeight="true" outlineLevel="0" collapsed="false">
      <c r="A3" s="4" t="s">
        <v>95</v>
      </c>
      <c r="B3" s="4" t="s">
        <v>17</v>
      </c>
      <c r="C3" s="4" t="s">
        <v>12</v>
      </c>
      <c r="D3" s="5" t="n">
        <v>341.7</v>
      </c>
      <c r="E3" s="5" t="n">
        <v>135.7</v>
      </c>
      <c r="F3" s="6" t="n">
        <f aca="false">D3*E3</f>
        <v>46368.69</v>
      </c>
    </row>
    <row r="4" customFormat="false" ht="18" hidden="false" customHeight="true" outlineLevel="0" collapsed="false">
      <c r="A4" s="7" t="s">
        <v>96</v>
      </c>
      <c r="B4" s="7" t="s">
        <v>27</v>
      </c>
      <c r="C4" s="7" t="s">
        <v>12</v>
      </c>
      <c r="D4" s="8" t="n">
        <v>419.1</v>
      </c>
      <c r="E4" s="8" t="n">
        <v>115.7</v>
      </c>
      <c r="F4" s="9" t="n">
        <f aca="false">D4*E4</f>
        <v>48489.87</v>
      </c>
    </row>
    <row r="5" customFormat="false" ht="18" hidden="false" customHeight="true" outlineLevel="0" collapsed="false">
      <c r="A5" s="4" t="s">
        <v>97</v>
      </c>
      <c r="B5" s="4" t="s">
        <v>34</v>
      </c>
      <c r="C5" s="4" t="s">
        <v>9</v>
      </c>
      <c r="D5" s="5" t="n">
        <v>1758.2</v>
      </c>
      <c r="E5" s="5" t="n">
        <v>106</v>
      </c>
      <c r="F5" s="6" t="n">
        <f aca="false">D5*E5</f>
        <v>186369.2</v>
      </c>
    </row>
    <row r="6" customFormat="false" ht="18" hidden="false" customHeight="true" outlineLevel="0" collapsed="false">
      <c r="A6" s="7" t="s">
        <v>98</v>
      </c>
      <c r="B6" s="7" t="s">
        <v>27</v>
      </c>
      <c r="C6" s="7" t="s">
        <v>9</v>
      </c>
      <c r="D6" s="8" t="n">
        <v>946.9</v>
      </c>
      <c r="E6" s="8" t="n">
        <v>128.2</v>
      </c>
      <c r="F6" s="9" t="n">
        <f aca="false">D6*E6</f>
        <v>121392.58</v>
      </c>
    </row>
    <row r="7" customFormat="false" ht="18" hidden="false" customHeight="true" outlineLevel="0" collapsed="false">
      <c r="A7" s="4" t="s">
        <v>99</v>
      </c>
      <c r="B7" s="4" t="s">
        <v>39</v>
      </c>
      <c r="C7" s="4" t="s">
        <v>12</v>
      </c>
      <c r="D7" s="5" t="n">
        <v>420.2</v>
      </c>
      <c r="E7" s="5" t="n">
        <v>138.3</v>
      </c>
      <c r="F7" s="6" t="n">
        <f aca="false">D7*E7</f>
        <v>58113.66</v>
      </c>
    </row>
    <row r="8" customFormat="false" ht="18" hidden="false" customHeight="true" outlineLevel="0" collapsed="false">
      <c r="A8" s="7" t="s">
        <v>100</v>
      </c>
      <c r="B8" s="7" t="s">
        <v>19</v>
      </c>
      <c r="C8" s="7" t="s">
        <v>9</v>
      </c>
      <c r="D8" s="8" t="n">
        <v>1184.3</v>
      </c>
      <c r="E8" s="8" t="n">
        <v>110</v>
      </c>
      <c r="F8" s="9" t="n">
        <f aca="false">D8*E8</f>
        <v>130273</v>
      </c>
    </row>
    <row r="9" customFormat="false" ht="18" hidden="false" customHeight="true" outlineLevel="0" collapsed="false">
      <c r="A9" s="4" t="s">
        <v>101</v>
      </c>
      <c r="B9" s="4" t="s">
        <v>32</v>
      </c>
      <c r="C9" s="4" t="s">
        <v>12</v>
      </c>
      <c r="D9" s="5" t="n">
        <v>288.4</v>
      </c>
      <c r="E9" s="5" t="n">
        <v>131.2</v>
      </c>
      <c r="F9" s="6" t="n">
        <f aca="false">D9*E9</f>
        <v>37838.08</v>
      </c>
    </row>
    <row r="10" customFormat="false" ht="18" hidden="false" customHeight="true" outlineLevel="0" collapsed="false">
      <c r="A10" s="7" t="s">
        <v>102</v>
      </c>
      <c r="B10" s="7" t="s">
        <v>34</v>
      </c>
      <c r="C10" s="7" t="s">
        <v>9</v>
      </c>
      <c r="D10" s="8" t="n">
        <v>2427.2</v>
      </c>
      <c r="E10" s="8" t="n">
        <v>123.2</v>
      </c>
      <c r="F10" s="9" t="n">
        <f aca="false">D10*E10</f>
        <v>299031.04</v>
      </c>
    </row>
    <row r="11" customFormat="false" ht="18" hidden="false" customHeight="true" outlineLevel="0" collapsed="false">
      <c r="A11" s="4" t="s">
        <v>103</v>
      </c>
      <c r="B11" s="4" t="s">
        <v>21</v>
      </c>
      <c r="C11" s="4" t="s">
        <v>9</v>
      </c>
      <c r="D11" s="5" t="n">
        <v>2771.9</v>
      </c>
      <c r="E11" s="5" t="n">
        <v>116.4</v>
      </c>
      <c r="F11" s="6" t="n">
        <f aca="false">D11*E11</f>
        <v>322649.16</v>
      </c>
    </row>
    <row r="12" customFormat="false" ht="18" hidden="false" customHeight="true" outlineLevel="0" collapsed="false">
      <c r="A12" s="7" t="s">
        <v>104</v>
      </c>
      <c r="B12" s="7" t="s">
        <v>39</v>
      </c>
      <c r="C12" s="7" t="s">
        <v>12</v>
      </c>
      <c r="D12" s="8" t="n">
        <v>373.4</v>
      </c>
      <c r="E12" s="8" t="n">
        <v>110.6</v>
      </c>
      <c r="F12" s="9" t="n">
        <f aca="false">D12*E12</f>
        <v>41298.04</v>
      </c>
    </row>
    <row r="13" customFormat="false" ht="18" hidden="false" customHeight="true" outlineLevel="0" collapsed="false">
      <c r="A13" s="4" t="s">
        <v>105</v>
      </c>
      <c r="B13" s="4" t="s">
        <v>8</v>
      </c>
      <c r="C13" s="4" t="s">
        <v>9</v>
      </c>
      <c r="D13" s="5" t="n">
        <v>1863.9</v>
      </c>
      <c r="E13" s="5" t="n">
        <v>120</v>
      </c>
      <c r="F13" s="6" t="n">
        <f aca="false">D13*E13</f>
        <v>223668</v>
      </c>
    </row>
    <row r="14" customFormat="false" ht="18" hidden="false" customHeight="true" outlineLevel="0" collapsed="false">
      <c r="A14" s="7" t="s">
        <v>106</v>
      </c>
      <c r="B14" s="7" t="s">
        <v>8</v>
      </c>
      <c r="C14" s="7" t="s">
        <v>12</v>
      </c>
      <c r="D14" s="8" t="n">
        <v>331</v>
      </c>
      <c r="E14" s="8" t="n">
        <v>144.7</v>
      </c>
      <c r="F14" s="9" t="n">
        <f aca="false">D14*E14</f>
        <v>47895.7</v>
      </c>
    </row>
    <row r="15" customFormat="false" ht="18" hidden="false" customHeight="true" outlineLevel="0" collapsed="false">
      <c r="A15" s="4" t="s">
        <v>107</v>
      </c>
      <c r="B15" s="4" t="s">
        <v>17</v>
      </c>
      <c r="C15" s="4" t="s">
        <v>12</v>
      </c>
      <c r="D15" s="5" t="n">
        <v>362</v>
      </c>
      <c r="E15" s="5" t="n">
        <v>115.7</v>
      </c>
      <c r="F15" s="6" t="n">
        <f aca="false">D15*E15</f>
        <v>41883.4</v>
      </c>
    </row>
    <row r="16" customFormat="false" ht="18" hidden="false" customHeight="true" outlineLevel="0" collapsed="false">
      <c r="A16" s="7" t="s">
        <v>108</v>
      </c>
      <c r="B16" s="7" t="s">
        <v>34</v>
      </c>
      <c r="C16" s="7" t="s">
        <v>12</v>
      </c>
      <c r="D16" s="8" t="n">
        <v>308.7</v>
      </c>
      <c r="E16" s="8" t="n">
        <v>129.8</v>
      </c>
      <c r="F16" s="9" t="n">
        <f aca="false">D16*E16</f>
        <v>40069.26</v>
      </c>
    </row>
    <row r="17" customFormat="false" ht="18" hidden="false" customHeight="true" outlineLevel="0" collapsed="false">
      <c r="A17" s="4" t="s">
        <v>109</v>
      </c>
      <c r="B17" s="4" t="s">
        <v>39</v>
      </c>
      <c r="C17" s="4" t="s">
        <v>12</v>
      </c>
      <c r="D17" s="5" t="n">
        <v>232.9</v>
      </c>
      <c r="E17" s="5" t="n">
        <v>143.4</v>
      </c>
      <c r="F17" s="6" t="n">
        <f aca="false">D17*E17</f>
        <v>33397.86</v>
      </c>
    </row>
    <row r="18" customFormat="false" ht="18" hidden="false" customHeight="true" outlineLevel="0" collapsed="false">
      <c r="A18" s="7" t="s">
        <v>110</v>
      </c>
      <c r="B18" s="7" t="s">
        <v>17</v>
      </c>
      <c r="C18" s="7" t="s">
        <v>12</v>
      </c>
      <c r="D18" s="8" t="n">
        <v>447.3</v>
      </c>
      <c r="E18" s="8" t="n">
        <v>118.9</v>
      </c>
      <c r="F18" s="9" t="n">
        <f aca="false">D18*E18</f>
        <v>53183.97</v>
      </c>
    </row>
    <row r="19" customFormat="false" ht="18" hidden="false" customHeight="true" outlineLevel="0" collapsed="false">
      <c r="A19" s="4" t="s">
        <v>111</v>
      </c>
      <c r="B19" s="4" t="s">
        <v>34</v>
      </c>
      <c r="C19" s="4" t="s">
        <v>9</v>
      </c>
      <c r="D19" s="5" t="n">
        <v>1242.3</v>
      </c>
      <c r="E19" s="5" t="n">
        <v>127.6</v>
      </c>
      <c r="F19" s="6" t="n">
        <f aca="false">D19*E19</f>
        <v>158517.48</v>
      </c>
    </row>
    <row r="20" customFormat="false" ht="18" hidden="false" customHeight="true" outlineLevel="0" collapsed="false">
      <c r="A20" s="7" t="s">
        <v>112</v>
      </c>
      <c r="B20" s="7" t="s">
        <v>19</v>
      </c>
      <c r="C20" s="7" t="s">
        <v>9</v>
      </c>
      <c r="D20" s="8" t="n">
        <v>3055</v>
      </c>
      <c r="E20" s="8" t="n">
        <v>129.2</v>
      </c>
      <c r="F20" s="9" t="n">
        <f aca="false">D20*E20</f>
        <v>394706</v>
      </c>
    </row>
    <row r="21" customFormat="false" ht="18" hidden="false" customHeight="true" outlineLevel="0" collapsed="false">
      <c r="A21" s="4" t="s">
        <v>113</v>
      </c>
      <c r="B21" s="4" t="s">
        <v>27</v>
      </c>
      <c r="C21" s="4" t="s">
        <v>12</v>
      </c>
      <c r="D21" s="5" t="n">
        <v>347.1</v>
      </c>
      <c r="E21" s="5" t="n">
        <v>121.9</v>
      </c>
      <c r="F21" s="6" t="n">
        <f aca="false">D21*E21</f>
        <v>42311.49</v>
      </c>
    </row>
    <row r="22" customFormat="false" ht="18" hidden="false" customHeight="true" outlineLevel="0" collapsed="false">
      <c r="A22" s="7" t="s">
        <v>114</v>
      </c>
      <c r="B22" s="7" t="s">
        <v>21</v>
      </c>
      <c r="C22" s="7" t="s">
        <v>9</v>
      </c>
      <c r="D22" s="8" t="n">
        <v>3008.9</v>
      </c>
      <c r="E22" s="8" t="n">
        <v>98.2</v>
      </c>
      <c r="F22" s="9" t="n">
        <f aca="false">D22*E22</f>
        <v>295473.98</v>
      </c>
    </row>
    <row r="23" customFormat="false" ht="18" hidden="false" customHeight="true" outlineLevel="0" collapsed="false">
      <c r="A23" s="4" t="s">
        <v>115</v>
      </c>
      <c r="B23" s="4" t="s">
        <v>8</v>
      </c>
      <c r="C23" s="4" t="s">
        <v>12</v>
      </c>
      <c r="D23" s="5" t="n">
        <v>258.2</v>
      </c>
      <c r="E23" s="5" t="n">
        <v>130.1</v>
      </c>
      <c r="F23" s="6" t="n">
        <f aca="false">D23*E23</f>
        <v>33591.82</v>
      </c>
    </row>
    <row r="24" customFormat="false" ht="18" hidden="false" customHeight="true" outlineLevel="0" collapsed="false">
      <c r="A24" s="7" t="s">
        <v>116</v>
      </c>
      <c r="B24" s="7" t="s">
        <v>27</v>
      </c>
      <c r="C24" s="7" t="s">
        <v>12</v>
      </c>
      <c r="D24" s="8" t="n">
        <v>309.1</v>
      </c>
      <c r="E24" s="8" t="n">
        <v>117.1</v>
      </c>
      <c r="F24" s="9" t="n">
        <f aca="false">D24*E24</f>
        <v>36195.61</v>
      </c>
    </row>
    <row r="25" customFormat="false" ht="18" hidden="false" customHeight="true" outlineLevel="0" collapsed="false">
      <c r="A25" s="4" t="s">
        <v>117</v>
      </c>
      <c r="B25" s="4" t="s">
        <v>27</v>
      </c>
      <c r="C25" s="4" t="s">
        <v>12</v>
      </c>
      <c r="D25" s="5" t="n">
        <v>318.9</v>
      </c>
      <c r="E25" s="5" t="n">
        <v>141.4</v>
      </c>
      <c r="F25" s="6" t="n">
        <f aca="false">D25*E25</f>
        <v>45092.46</v>
      </c>
    </row>
    <row r="26" customFormat="false" ht="18" hidden="false" customHeight="true" outlineLevel="0" collapsed="false">
      <c r="A26" s="7" t="s">
        <v>118</v>
      </c>
      <c r="B26" s="7" t="s">
        <v>21</v>
      </c>
      <c r="C26" s="7" t="s">
        <v>9</v>
      </c>
      <c r="D26" s="8" t="n">
        <v>1286</v>
      </c>
      <c r="E26" s="8" t="n">
        <v>113.1</v>
      </c>
      <c r="F26" s="9" t="n">
        <f aca="false">D26*E26</f>
        <v>145446.6</v>
      </c>
    </row>
    <row r="27" customFormat="false" ht="18" hidden="false" customHeight="true" outlineLevel="0" collapsed="false">
      <c r="A27" s="4" t="s">
        <v>119</v>
      </c>
      <c r="B27" s="4" t="s">
        <v>11</v>
      </c>
      <c r="C27" s="4" t="s">
        <v>12</v>
      </c>
      <c r="D27" s="5" t="n">
        <v>258.7</v>
      </c>
      <c r="E27" s="5" t="n">
        <v>128.4</v>
      </c>
      <c r="F27" s="6" t="n">
        <f aca="false">D27*E27</f>
        <v>33217.08</v>
      </c>
    </row>
    <row r="28" customFormat="false" ht="18" hidden="false" customHeight="true" outlineLevel="0" collapsed="false">
      <c r="A28" s="7" t="s">
        <v>120</v>
      </c>
      <c r="B28" s="7" t="s">
        <v>39</v>
      </c>
      <c r="C28" s="7" t="s">
        <v>9</v>
      </c>
      <c r="D28" s="8" t="n">
        <v>2106.1</v>
      </c>
      <c r="E28" s="8" t="n">
        <v>97.5</v>
      </c>
      <c r="F28" s="9" t="n">
        <f aca="false">D28*E28</f>
        <v>205344.75</v>
      </c>
    </row>
    <row r="29" customFormat="false" ht="18" hidden="false" customHeight="true" outlineLevel="0" collapsed="false">
      <c r="A29" s="4" t="s">
        <v>121</v>
      </c>
      <c r="B29" s="4" t="s">
        <v>8</v>
      </c>
      <c r="C29" s="4" t="s">
        <v>9</v>
      </c>
      <c r="D29" s="5" t="n">
        <v>2664.4</v>
      </c>
      <c r="E29" s="5" t="n">
        <v>106.7</v>
      </c>
      <c r="F29" s="6" t="n">
        <f aca="false">D29*E29</f>
        <v>284291.48</v>
      </c>
    </row>
    <row r="30" customFormat="false" ht="18" hidden="false" customHeight="true" outlineLevel="0" collapsed="false">
      <c r="A30" s="7" t="s">
        <v>122</v>
      </c>
      <c r="B30" s="7" t="s">
        <v>34</v>
      </c>
      <c r="C30" s="7" t="s">
        <v>12</v>
      </c>
      <c r="D30" s="8" t="n">
        <v>398.4</v>
      </c>
      <c r="E30" s="8" t="n">
        <v>111</v>
      </c>
      <c r="F30" s="9" t="n">
        <f aca="false">D30*E30</f>
        <v>44222.4</v>
      </c>
    </row>
    <row r="31" customFormat="false" ht="18" hidden="false" customHeight="true" outlineLevel="0" collapsed="false">
      <c r="A31" s="4" t="s">
        <v>123</v>
      </c>
      <c r="B31" s="4" t="s">
        <v>34</v>
      </c>
      <c r="C31" s="4" t="s">
        <v>9</v>
      </c>
      <c r="D31" s="5" t="n">
        <v>1043</v>
      </c>
      <c r="E31" s="5" t="n">
        <v>101.6</v>
      </c>
      <c r="F31" s="6" t="n">
        <f aca="false">D31*E31</f>
        <v>105968.8</v>
      </c>
    </row>
    <row r="32" customFormat="false" ht="18" hidden="false" customHeight="true" outlineLevel="0" collapsed="false">
      <c r="A32" s="7" t="s">
        <v>124</v>
      </c>
      <c r="B32" s="7" t="s">
        <v>39</v>
      </c>
      <c r="C32" s="7" t="s">
        <v>9</v>
      </c>
      <c r="D32" s="8" t="n">
        <v>1325.8</v>
      </c>
      <c r="E32" s="8" t="n">
        <v>126.5</v>
      </c>
      <c r="F32" s="9" t="n">
        <f aca="false">D32*E32</f>
        <v>167713.7</v>
      </c>
    </row>
    <row r="33" customFormat="false" ht="21.75" hidden="false" customHeight="true" outlineLevel="0" collapsed="false">
      <c r="A33" s="10" t="s">
        <v>61</v>
      </c>
      <c r="B33" s="10"/>
      <c r="C33" s="10"/>
      <c r="D33" s="11" t="n">
        <f aca="false">SUM(D3:D32)</f>
        <v>32099</v>
      </c>
      <c r="E33" s="12" t="s">
        <v>62</v>
      </c>
      <c r="F33" s="12" t="n">
        <f aca="false">SUM(F3:F32)</f>
        <v>3724015.16</v>
      </c>
    </row>
  </sheetData>
  <mergeCells count="2">
    <mergeCell ref="A1:F1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5"/>
    <col collapsed="false" customWidth="true" hidden="false" outlineLevel="0" max="5" min="3" style="1" width="16"/>
    <col collapsed="false" customWidth="true" hidden="false" outlineLevel="0" max="6" min="6" style="1" width="18"/>
  </cols>
  <sheetData>
    <row r="1" customFormat="false" ht="33.75" hidden="false" customHeight="true" outlineLevel="0" collapsed="false">
      <c r="A1" s="2" t="s">
        <v>125</v>
      </c>
      <c r="B1" s="2"/>
      <c r="C1" s="2"/>
      <c r="D1" s="2"/>
      <c r="E1" s="2"/>
      <c r="F1" s="2"/>
    </row>
    <row r="2" customFormat="false" ht="27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8" hidden="false" customHeight="true" outlineLevel="0" collapsed="false">
      <c r="A3" s="4" t="s">
        <v>126</v>
      </c>
      <c r="B3" s="4" t="s">
        <v>32</v>
      </c>
      <c r="C3" s="4" t="s">
        <v>12</v>
      </c>
      <c r="D3" s="5" t="n">
        <v>262.8</v>
      </c>
      <c r="E3" s="5" t="n">
        <v>120.3</v>
      </c>
      <c r="F3" s="6" t="n">
        <f aca="false">D3*E3</f>
        <v>31614.84</v>
      </c>
    </row>
    <row r="4" customFormat="false" ht="18" hidden="false" customHeight="true" outlineLevel="0" collapsed="false">
      <c r="A4" s="7" t="s">
        <v>127</v>
      </c>
      <c r="B4" s="7" t="s">
        <v>39</v>
      </c>
      <c r="C4" s="7" t="s">
        <v>12</v>
      </c>
      <c r="D4" s="8" t="n">
        <v>166.6</v>
      </c>
      <c r="E4" s="8" t="n">
        <v>123.6</v>
      </c>
      <c r="F4" s="9" t="n">
        <f aca="false">D4*E4</f>
        <v>20591.76</v>
      </c>
    </row>
    <row r="5" customFormat="false" ht="18" hidden="false" customHeight="true" outlineLevel="0" collapsed="false">
      <c r="A5" s="4" t="s">
        <v>128</v>
      </c>
      <c r="B5" s="4" t="s">
        <v>34</v>
      </c>
      <c r="C5" s="4" t="s">
        <v>9</v>
      </c>
      <c r="D5" s="5" t="n">
        <v>836.8</v>
      </c>
      <c r="E5" s="5" t="n">
        <v>97</v>
      </c>
      <c r="F5" s="6" t="n">
        <f aca="false">D5*E5</f>
        <v>81169.6</v>
      </c>
    </row>
    <row r="6" customFormat="false" ht="18" hidden="false" customHeight="true" outlineLevel="0" collapsed="false">
      <c r="A6" s="7" t="s">
        <v>129</v>
      </c>
      <c r="B6" s="7" t="s">
        <v>11</v>
      </c>
      <c r="C6" s="7" t="s">
        <v>9</v>
      </c>
      <c r="D6" s="8" t="n">
        <v>893.7</v>
      </c>
      <c r="E6" s="8" t="n">
        <v>116.3</v>
      </c>
      <c r="F6" s="9" t="n">
        <f aca="false">D6*E6</f>
        <v>103937.31</v>
      </c>
    </row>
    <row r="7" customFormat="false" ht="18" hidden="false" customHeight="true" outlineLevel="0" collapsed="false">
      <c r="A7" s="4" t="s">
        <v>130</v>
      </c>
      <c r="B7" s="4" t="s">
        <v>11</v>
      </c>
      <c r="C7" s="4" t="s">
        <v>12</v>
      </c>
      <c r="D7" s="5" t="n">
        <v>212.5</v>
      </c>
      <c r="E7" s="5" t="n">
        <v>121.1</v>
      </c>
      <c r="F7" s="6" t="n">
        <f aca="false">D7*E7</f>
        <v>25733.75</v>
      </c>
    </row>
    <row r="8" customFormat="false" ht="18" hidden="false" customHeight="true" outlineLevel="0" collapsed="false">
      <c r="A8" s="7" t="s">
        <v>131</v>
      </c>
      <c r="B8" s="7" t="s">
        <v>34</v>
      </c>
      <c r="C8" s="7" t="s">
        <v>12</v>
      </c>
      <c r="D8" s="8" t="n">
        <v>253.8</v>
      </c>
      <c r="E8" s="8" t="n">
        <v>137.3</v>
      </c>
      <c r="F8" s="9" t="n">
        <f aca="false">D8*E8</f>
        <v>34846.74</v>
      </c>
    </row>
    <row r="9" customFormat="false" ht="18" hidden="false" customHeight="true" outlineLevel="0" collapsed="false">
      <c r="A9" s="4" t="s">
        <v>132</v>
      </c>
      <c r="B9" s="4" t="s">
        <v>17</v>
      </c>
      <c r="C9" s="4" t="s">
        <v>12</v>
      </c>
      <c r="D9" s="5" t="n">
        <v>170.5</v>
      </c>
      <c r="E9" s="5" t="n">
        <v>117.8</v>
      </c>
      <c r="F9" s="6" t="n">
        <f aca="false">D9*E9</f>
        <v>20084.9</v>
      </c>
    </row>
    <row r="10" customFormat="false" ht="18" hidden="false" customHeight="true" outlineLevel="0" collapsed="false">
      <c r="A10" s="7" t="s">
        <v>133</v>
      </c>
      <c r="B10" s="7" t="s">
        <v>34</v>
      </c>
      <c r="C10" s="7" t="s">
        <v>9</v>
      </c>
      <c r="D10" s="8" t="n">
        <v>1792.9</v>
      </c>
      <c r="E10" s="8" t="n">
        <v>97.5</v>
      </c>
      <c r="F10" s="9" t="n">
        <f aca="false">D10*E10</f>
        <v>174807.75</v>
      </c>
    </row>
    <row r="11" customFormat="false" ht="18" hidden="false" customHeight="true" outlineLevel="0" collapsed="false">
      <c r="A11" s="4" t="s">
        <v>134</v>
      </c>
      <c r="B11" s="4" t="s">
        <v>32</v>
      </c>
      <c r="C11" s="4" t="s">
        <v>9</v>
      </c>
      <c r="D11" s="5" t="n">
        <v>693.7</v>
      </c>
      <c r="E11" s="5" t="n">
        <v>110.3</v>
      </c>
      <c r="F11" s="6" t="n">
        <f aca="false">D11*E11</f>
        <v>76515.11</v>
      </c>
    </row>
    <row r="12" customFormat="false" ht="18" hidden="false" customHeight="true" outlineLevel="0" collapsed="false">
      <c r="A12" s="7" t="s">
        <v>135</v>
      </c>
      <c r="B12" s="7" t="s">
        <v>21</v>
      </c>
      <c r="C12" s="7" t="s">
        <v>9</v>
      </c>
      <c r="D12" s="8" t="n">
        <v>1220.4</v>
      </c>
      <c r="E12" s="8" t="n">
        <v>125.7</v>
      </c>
      <c r="F12" s="9" t="n">
        <f aca="false">D12*E12</f>
        <v>153404.28</v>
      </c>
    </row>
    <row r="13" customFormat="false" ht="18" hidden="false" customHeight="true" outlineLevel="0" collapsed="false">
      <c r="A13" s="4" t="s">
        <v>136</v>
      </c>
      <c r="B13" s="4" t="s">
        <v>19</v>
      </c>
      <c r="C13" s="4" t="s">
        <v>9</v>
      </c>
      <c r="D13" s="5" t="n">
        <v>1056</v>
      </c>
      <c r="E13" s="5" t="n">
        <v>107.1</v>
      </c>
      <c r="F13" s="6" t="n">
        <f aca="false">D13*E13</f>
        <v>113097.6</v>
      </c>
    </row>
    <row r="14" customFormat="false" ht="18" hidden="false" customHeight="true" outlineLevel="0" collapsed="false">
      <c r="A14" s="7" t="s">
        <v>137</v>
      </c>
      <c r="B14" s="7" t="s">
        <v>34</v>
      </c>
      <c r="C14" s="7" t="s">
        <v>9</v>
      </c>
      <c r="D14" s="8" t="n">
        <v>1403</v>
      </c>
      <c r="E14" s="8" t="n">
        <v>97.3</v>
      </c>
      <c r="F14" s="9" t="n">
        <f aca="false">D14*E14</f>
        <v>136511.9</v>
      </c>
    </row>
    <row r="15" customFormat="false" ht="18" hidden="false" customHeight="true" outlineLevel="0" collapsed="false">
      <c r="A15" s="4" t="s">
        <v>138</v>
      </c>
      <c r="B15" s="4" t="s">
        <v>39</v>
      </c>
      <c r="C15" s="4" t="s">
        <v>12</v>
      </c>
      <c r="D15" s="5" t="n">
        <v>191.4</v>
      </c>
      <c r="E15" s="5" t="n">
        <v>131.7</v>
      </c>
      <c r="F15" s="6" t="n">
        <f aca="false">D15*E15</f>
        <v>25207.38</v>
      </c>
    </row>
    <row r="16" customFormat="false" ht="18" hidden="false" customHeight="true" outlineLevel="0" collapsed="false">
      <c r="A16" s="7" t="s">
        <v>139</v>
      </c>
      <c r="B16" s="7" t="s">
        <v>29</v>
      </c>
      <c r="C16" s="7" t="s">
        <v>9</v>
      </c>
      <c r="D16" s="8" t="n">
        <v>1556.3</v>
      </c>
      <c r="E16" s="8" t="n">
        <v>103.5</v>
      </c>
      <c r="F16" s="9" t="n">
        <f aca="false">D16*E16</f>
        <v>161077.05</v>
      </c>
    </row>
    <row r="17" customFormat="false" ht="18" hidden="false" customHeight="true" outlineLevel="0" collapsed="false">
      <c r="A17" s="4" t="s">
        <v>140</v>
      </c>
      <c r="B17" s="4" t="s">
        <v>39</v>
      </c>
      <c r="C17" s="4" t="s">
        <v>9</v>
      </c>
      <c r="D17" s="5" t="n">
        <v>1387.4</v>
      </c>
      <c r="E17" s="5" t="n">
        <v>116.1</v>
      </c>
      <c r="F17" s="6" t="n">
        <f aca="false">D17*E17</f>
        <v>161077.14</v>
      </c>
    </row>
    <row r="18" customFormat="false" ht="18" hidden="false" customHeight="true" outlineLevel="0" collapsed="false">
      <c r="A18" s="7" t="s">
        <v>141</v>
      </c>
      <c r="B18" s="7" t="s">
        <v>34</v>
      </c>
      <c r="C18" s="7" t="s">
        <v>12</v>
      </c>
      <c r="D18" s="8" t="n">
        <v>308.6</v>
      </c>
      <c r="E18" s="8" t="n">
        <v>114.3</v>
      </c>
      <c r="F18" s="9" t="n">
        <f aca="false">D18*E18</f>
        <v>35272.98</v>
      </c>
    </row>
    <row r="19" customFormat="false" ht="18" hidden="false" customHeight="true" outlineLevel="0" collapsed="false">
      <c r="A19" s="4" t="s">
        <v>142</v>
      </c>
      <c r="B19" s="4" t="s">
        <v>29</v>
      </c>
      <c r="C19" s="4" t="s">
        <v>9</v>
      </c>
      <c r="D19" s="5" t="n">
        <v>1340.1</v>
      </c>
      <c r="E19" s="5" t="n">
        <v>128</v>
      </c>
      <c r="F19" s="6" t="n">
        <f aca="false">D19*E19</f>
        <v>171532.8</v>
      </c>
    </row>
    <row r="20" customFormat="false" ht="18" hidden="false" customHeight="true" outlineLevel="0" collapsed="false">
      <c r="A20" s="7" t="s">
        <v>143</v>
      </c>
      <c r="B20" s="7" t="s">
        <v>21</v>
      </c>
      <c r="C20" s="7" t="s">
        <v>9</v>
      </c>
      <c r="D20" s="8" t="n">
        <v>1849.8</v>
      </c>
      <c r="E20" s="8" t="n">
        <v>121.4</v>
      </c>
      <c r="F20" s="9" t="n">
        <f aca="false">D20*E20</f>
        <v>224565.72</v>
      </c>
    </row>
    <row r="21" customFormat="false" ht="18" hidden="false" customHeight="true" outlineLevel="0" collapsed="false">
      <c r="A21" s="4" t="s">
        <v>144</v>
      </c>
      <c r="B21" s="4" t="s">
        <v>19</v>
      </c>
      <c r="C21" s="4" t="s">
        <v>12</v>
      </c>
      <c r="D21" s="5" t="n">
        <v>269.1</v>
      </c>
      <c r="E21" s="5" t="n">
        <v>128.7</v>
      </c>
      <c r="F21" s="6" t="n">
        <f aca="false">D21*E21</f>
        <v>34633.17</v>
      </c>
    </row>
    <row r="22" customFormat="false" ht="18" hidden="false" customHeight="true" outlineLevel="0" collapsed="false">
      <c r="A22" s="7" t="s">
        <v>145</v>
      </c>
      <c r="B22" s="7" t="s">
        <v>17</v>
      </c>
      <c r="C22" s="7" t="s">
        <v>9</v>
      </c>
      <c r="D22" s="8" t="n">
        <v>1177.2</v>
      </c>
      <c r="E22" s="8" t="n">
        <v>102.3</v>
      </c>
      <c r="F22" s="9" t="n">
        <f aca="false">D22*E22</f>
        <v>120427.56</v>
      </c>
    </row>
    <row r="23" customFormat="false" ht="18" hidden="false" customHeight="true" outlineLevel="0" collapsed="false">
      <c r="A23" s="4" t="s">
        <v>146</v>
      </c>
      <c r="B23" s="4" t="s">
        <v>17</v>
      </c>
      <c r="C23" s="4" t="s">
        <v>9</v>
      </c>
      <c r="D23" s="5" t="n">
        <v>1271.4</v>
      </c>
      <c r="E23" s="5" t="n">
        <v>112.2</v>
      </c>
      <c r="F23" s="6" t="n">
        <f aca="false">D23*E23</f>
        <v>142651.08</v>
      </c>
    </row>
    <row r="24" customFormat="false" ht="18" hidden="false" customHeight="true" outlineLevel="0" collapsed="false">
      <c r="A24" s="7" t="s">
        <v>147</v>
      </c>
      <c r="B24" s="7" t="s">
        <v>19</v>
      </c>
      <c r="C24" s="7" t="s">
        <v>12</v>
      </c>
      <c r="D24" s="8" t="n">
        <v>290.2</v>
      </c>
      <c r="E24" s="8" t="n">
        <v>111.7</v>
      </c>
      <c r="F24" s="9" t="n">
        <f aca="false">D24*E24</f>
        <v>32415.34</v>
      </c>
    </row>
    <row r="25" customFormat="false" ht="18" hidden="false" customHeight="true" outlineLevel="0" collapsed="false">
      <c r="A25" s="4" t="s">
        <v>148</v>
      </c>
      <c r="B25" s="4" t="s">
        <v>17</v>
      </c>
      <c r="C25" s="4" t="s">
        <v>12</v>
      </c>
      <c r="D25" s="5" t="n">
        <v>328.4</v>
      </c>
      <c r="E25" s="5" t="n">
        <v>116.7</v>
      </c>
      <c r="F25" s="6" t="n">
        <f aca="false">D25*E25</f>
        <v>38324.28</v>
      </c>
    </row>
    <row r="26" customFormat="false" ht="18" hidden="false" customHeight="true" outlineLevel="0" collapsed="false">
      <c r="A26" s="7" t="s">
        <v>149</v>
      </c>
      <c r="B26" s="7" t="s">
        <v>8</v>
      </c>
      <c r="C26" s="7" t="s">
        <v>12</v>
      </c>
      <c r="D26" s="8" t="n">
        <v>134.5</v>
      </c>
      <c r="E26" s="8" t="n">
        <v>138</v>
      </c>
      <c r="F26" s="9" t="n">
        <f aca="false">D26*E26</f>
        <v>18561</v>
      </c>
    </row>
    <row r="27" customFormat="false" ht="18" hidden="false" customHeight="true" outlineLevel="0" collapsed="false">
      <c r="A27" s="4" t="s">
        <v>150</v>
      </c>
      <c r="B27" s="4" t="s">
        <v>34</v>
      </c>
      <c r="C27" s="4" t="s">
        <v>12</v>
      </c>
      <c r="D27" s="5" t="n">
        <v>283.6</v>
      </c>
      <c r="E27" s="5" t="n">
        <v>144.8</v>
      </c>
      <c r="F27" s="6" t="n">
        <f aca="false">D27*E27</f>
        <v>41065.28</v>
      </c>
    </row>
    <row r="28" customFormat="false" ht="21.75" hidden="false" customHeight="true" outlineLevel="0" collapsed="false">
      <c r="A28" s="10" t="s">
        <v>61</v>
      </c>
      <c r="B28" s="10"/>
      <c r="C28" s="10"/>
      <c r="D28" s="11" t="n">
        <f aca="false">SUM(D3:D27)</f>
        <v>19350.7</v>
      </c>
      <c r="E28" s="12" t="s">
        <v>62</v>
      </c>
      <c r="F28" s="12" t="n">
        <f aca="false">SUM(F3:F27)</f>
        <v>2179126.32</v>
      </c>
    </row>
  </sheetData>
  <mergeCells count="2">
    <mergeCell ref="A1:F1"/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5"/>
    <col collapsed="false" customWidth="true" hidden="false" outlineLevel="0" max="5" min="3" style="1" width="16"/>
    <col collapsed="false" customWidth="true" hidden="false" outlineLevel="0" max="6" min="6" style="1" width="18"/>
  </cols>
  <sheetData>
    <row r="1" customFormat="false" ht="33.75" hidden="false" customHeight="true" outlineLevel="0" collapsed="false">
      <c r="A1" s="2" t="s">
        <v>151</v>
      </c>
      <c r="B1" s="2"/>
      <c r="C1" s="2"/>
      <c r="D1" s="2"/>
      <c r="E1" s="2"/>
      <c r="F1" s="2"/>
    </row>
    <row r="2" customFormat="false" ht="27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8" hidden="false" customHeight="true" outlineLevel="0" collapsed="false">
      <c r="A3" s="4" t="s">
        <v>152</v>
      </c>
      <c r="B3" s="4" t="s">
        <v>27</v>
      </c>
      <c r="C3" s="4" t="s">
        <v>9</v>
      </c>
      <c r="D3" s="5" t="n">
        <v>3940.2</v>
      </c>
      <c r="E3" s="5" t="n">
        <v>125.8</v>
      </c>
      <c r="F3" s="6" t="n">
        <f aca="false">D3*E3</f>
        <v>495677.16</v>
      </c>
    </row>
    <row r="4" customFormat="false" ht="18" hidden="false" customHeight="true" outlineLevel="0" collapsed="false">
      <c r="A4" s="7" t="s">
        <v>153</v>
      </c>
      <c r="B4" s="7" t="s">
        <v>27</v>
      </c>
      <c r="C4" s="7" t="s">
        <v>12</v>
      </c>
      <c r="D4" s="8" t="n">
        <v>449.3</v>
      </c>
      <c r="E4" s="8" t="n">
        <v>134.2</v>
      </c>
      <c r="F4" s="9" t="n">
        <f aca="false">D4*E4</f>
        <v>60296.06</v>
      </c>
    </row>
    <row r="5" customFormat="false" ht="18" hidden="false" customHeight="true" outlineLevel="0" collapsed="false">
      <c r="A5" s="4" t="s">
        <v>154</v>
      </c>
      <c r="B5" s="4" t="s">
        <v>11</v>
      </c>
      <c r="C5" s="4" t="s">
        <v>9</v>
      </c>
      <c r="D5" s="5" t="n">
        <v>1545.5</v>
      </c>
      <c r="E5" s="5" t="n">
        <v>124.5</v>
      </c>
      <c r="F5" s="6" t="n">
        <f aca="false">D5*E5</f>
        <v>192414.75</v>
      </c>
    </row>
    <row r="6" customFormat="false" ht="18" hidden="false" customHeight="true" outlineLevel="0" collapsed="false">
      <c r="A6" s="7" t="s">
        <v>155</v>
      </c>
      <c r="B6" s="7" t="s">
        <v>21</v>
      </c>
      <c r="C6" s="7" t="s">
        <v>9</v>
      </c>
      <c r="D6" s="8" t="n">
        <v>3285</v>
      </c>
      <c r="E6" s="8" t="n">
        <v>97.7</v>
      </c>
      <c r="F6" s="9" t="n">
        <f aca="false">D6*E6</f>
        <v>320944.5</v>
      </c>
    </row>
    <row r="7" customFormat="false" ht="18" hidden="false" customHeight="true" outlineLevel="0" collapsed="false">
      <c r="A7" s="4" t="s">
        <v>156</v>
      </c>
      <c r="B7" s="4" t="s">
        <v>27</v>
      </c>
      <c r="C7" s="4" t="s">
        <v>9</v>
      </c>
      <c r="D7" s="5" t="n">
        <v>2025.6</v>
      </c>
      <c r="E7" s="5" t="n">
        <v>129.5</v>
      </c>
      <c r="F7" s="6" t="n">
        <f aca="false">D7*E7</f>
        <v>262315.2</v>
      </c>
    </row>
    <row r="8" customFormat="false" ht="18" hidden="false" customHeight="true" outlineLevel="0" collapsed="false">
      <c r="A8" s="7" t="s">
        <v>157</v>
      </c>
      <c r="B8" s="7" t="s">
        <v>17</v>
      </c>
      <c r="C8" s="7" t="s">
        <v>9</v>
      </c>
      <c r="D8" s="8" t="n">
        <v>3601.1</v>
      </c>
      <c r="E8" s="8" t="n">
        <v>96.2</v>
      </c>
      <c r="F8" s="9" t="n">
        <f aca="false">D8*E8</f>
        <v>346425.82</v>
      </c>
    </row>
    <row r="9" customFormat="false" ht="18" hidden="false" customHeight="true" outlineLevel="0" collapsed="false">
      <c r="A9" s="4" t="s">
        <v>158</v>
      </c>
      <c r="B9" s="4" t="s">
        <v>39</v>
      </c>
      <c r="C9" s="4" t="s">
        <v>12</v>
      </c>
      <c r="D9" s="5" t="n">
        <v>290.2</v>
      </c>
      <c r="E9" s="5" t="n">
        <v>123.7</v>
      </c>
      <c r="F9" s="6" t="n">
        <f aca="false">D9*E9</f>
        <v>35897.74</v>
      </c>
    </row>
    <row r="10" customFormat="false" ht="18" hidden="false" customHeight="true" outlineLevel="0" collapsed="false">
      <c r="A10" s="7" t="s">
        <v>159</v>
      </c>
      <c r="B10" s="7" t="s">
        <v>21</v>
      </c>
      <c r="C10" s="7" t="s">
        <v>9</v>
      </c>
      <c r="D10" s="8" t="n">
        <v>1917.8</v>
      </c>
      <c r="E10" s="8" t="n">
        <v>129.9</v>
      </c>
      <c r="F10" s="9" t="n">
        <f aca="false">D10*E10</f>
        <v>249122.22</v>
      </c>
    </row>
    <row r="11" customFormat="false" ht="18" hidden="false" customHeight="true" outlineLevel="0" collapsed="false">
      <c r="A11" s="4" t="s">
        <v>160</v>
      </c>
      <c r="B11" s="4" t="s">
        <v>39</v>
      </c>
      <c r="C11" s="4" t="s">
        <v>9</v>
      </c>
      <c r="D11" s="5" t="n">
        <v>3933.9</v>
      </c>
      <c r="E11" s="5" t="n">
        <v>103.8</v>
      </c>
      <c r="F11" s="6" t="n">
        <f aca="false">D11*E11</f>
        <v>408338.82</v>
      </c>
    </row>
    <row r="12" customFormat="false" ht="18" hidden="false" customHeight="true" outlineLevel="0" collapsed="false">
      <c r="A12" s="7" t="s">
        <v>161</v>
      </c>
      <c r="B12" s="7" t="s">
        <v>32</v>
      </c>
      <c r="C12" s="7" t="s">
        <v>12</v>
      </c>
      <c r="D12" s="8" t="n">
        <v>348.6</v>
      </c>
      <c r="E12" s="8" t="n">
        <v>115.2</v>
      </c>
      <c r="F12" s="9" t="n">
        <f aca="false">D12*E12</f>
        <v>40158.72</v>
      </c>
    </row>
    <row r="13" customFormat="false" ht="18" hidden="false" customHeight="true" outlineLevel="0" collapsed="false">
      <c r="A13" s="4" t="s">
        <v>162</v>
      </c>
      <c r="B13" s="4" t="s">
        <v>32</v>
      </c>
      <c r="C13" s="4" t="s">
        <v>12</v>
      </c>
      <c r="D13" s="5" t="n">
        <v>444.6</v>
      </c>
      <c r="E13" s="5" t="n">
        <v>118</v>
      </c>
      <c r="F13" s="6" t="n">
        <f aca="false">D13*E13</f>
        <v>52462.8</v>
      </c>
    </row>
    <row r="14" customFormat="false" ht="18" hidden="false" customHeight="true" outlineLevel="0" collapsed="false">
      <c r="A14" s="7" t="s">
        <v>163</v>
      </c>
      <c r="B14" s="7" t="s">
        <v>27</v>
      </c>
      <c r="C14" s="7" t="s">
        <v>12</v>
      </c>
      <c r="D14" s="8" t="n">
        <v>283.5</v>
      </c>
      <c r="E14" s="8" t="n">
        <v>125.2</v>
      </c>
      <c r="F14" s="9" t="n">
        <f aca="false">D14*E14</f>
        <v>35494.2</v>
      </c>
    </row>
    <row r="15" customFormat="false" ht="18" hidden="false" customHeight="true" outlineLevel="0" collapsed="false">
      <c r="A15" s="4" t="s">
        <v>164</v>
      </c>
      <c r="B15" s="4" t="s">
        <v>11</v>
      </c>
      <c r="C15" s="4" t="s">
        <v>12</v>
      </c>
      <c r="D15" s="5" t="n">
        <v>314.6</v>
      </c>
      <c r="E15" s="5" t="n">
        <v>137.5</v>
      </c>
      <c r="F15" s="6" t="n">
        <f aca="false">D15*E15</f>
        <v>43257.5</v>
      </c>
    </row>
    <row r="16" customFormat="false" ht="18" hidden="false" customHeight="true" outlineLevel="0" collapsed="false">
      <c r="A16" s="7" t="s">
        <v>165</v>
      </c>
      <c r="B16" s="7" t="s">
        <v>29</v>
      </c>
      <c r="C16" s="7" t="s">
        <v>12</v>
      </c>
      <c r="D16" s="8" t="n">
        <v>223</v>
      </c>
      <c r="E16" s="8" t="n">
        <v>113.1</v>
      </c>
      <c r="F16" s="9" t="n">
        <f aca="false">D16*E16</f>
        <v>25221.3</v>
      </c>
    </row>
    <row r="17" customFormat="false" ht="18" hidden="false" customHeight="true" outlineLevel="0" collapsed="false">
      <c r="A17" s="4" t="s">
        <v>166</v>
      </c>
      <c r="B17" s="4" t="s">
        <v>19</v>
      </c>
      <c r="C17" s="4" t="s">
        <v>12</v>
      </c>
      <c r="D17" s="5" t="n">
        <v>243.4</v>
      </c>
      <c r="E17" s="5" t="n">
        <v>116.8</v>
      </c>
      <c r="F17" s="6" t="n">
        <f aca="false">D17*E17</f>
        <v>28429.12</v>
      </c>
    </row>
    <row r="18" customFormat="false" ht="18" hidden="false" customHeight="true" outlineLevel="0" collapsed="false">
      <c r="A18" s="7" t="s">
        <v>167</v>
      </c>
      <c r="B18" s="7" t="s">
        <v>39</v>
      </c>
      <c r="C18" s="7" t="s">
        <v>12</v>
      </c>
      <c r="D18" s="8" t="n">
        <v>303.6</v>
      </c>
      <c r="E18" s="8" t="n">
        <v>114</v>
      </c>
      <c r="F18" s="9" t="n">
        <f aca="false">D18*E18</f>
        <v>34610.4</v>
      </c>
    </row>
    <row r="19" customFormat="false" ht="18" hidden="false" customHeight="true" outlineLevel="0" collapsed="false">
      <c r="A19" s="4" t="s">
        <v>168</v>
      </c>
      <c r="B19" s="4" t="s">
        <v>8</v>
      </c>
      <c r="C19" s="4" t="s">
        <v>9</v>
      </c>
      <c r="D19" s="5" t="n">
        <v>1771.7</v>
      </c>
      <c r="E19" s="5" t="n">
        <v>114.4</v>
      </c>
      <c r="F19" s="6" t="n">
        <f aca="false">D19*E19</f>
        <v>202682.48</v>
      </c>
    </row>
    <row r="20" customFormat="false" ht="18" hidden="false" customHeight="true" outlineLevel="0" collapsed="false">
      <c r="A20" s="7" t="s">
        <v>169</v>
      </c>
      <c r="B20" s="7" t="s">
        <v>8</v>
      </c>
      <c r="C20" s="7" t="s">
        <v>12</v>
      </c>
      <c r="D20" s="8" t="n">
        <v>392.6</v>
      </c>
      <c r="E20" s="8" t="n">
        <v>121.3</v>
      </c>
      <c r="F20" s="9" t="n">
        <f aca="false">D20*E20</f>
        <v>47622.38</v>
      </c>
    </row>
    <row r="21" customFormat="false" ht="18" hidden="false" customHeight="true" outlineLevel="0" collapsed="false">
      <c r="A21" s="4" t="s">
        <v>170</v>
      </c>
      <c r="B21" s="4" t="s">
        <v>29</v>
      </c>
      <c r="C21" s="4" t="s">
        <v>9</v>
      </c>
      <c r="D21" s="5" t="n">
        <v>2534.9</v>
      </c>
      <c r="E21" s="5" t="n">
        <v>112.6</v>
      </c>
      <c r="F21" s="6" t="n">
        <f aca="false">D21*E21</f>
        <v>285429.74</v>
      </c>
    </row>
    <row r="22" customFormat="false" ht="18" hidden="false" customHeight="true" outlineLevel="0" collapsed="false">
      <c r="A22" s="7" t="s">
        <v>171</v>
      </c>
      <c r="B22" s="7" t="s">
        <v>8</v>
      </c>
      <c r="C22" s="7" t="s">
        <v>9</v>
      </c>
      <c r="D22" s="8" t="n">
        <v>2782.4</v>
      </c>
      <c r="E22" s="8" t="n">
        <v>116.6</v>
      </c>
      <c r="F22" s="9" t="n">
        <f aca="false">D22*E22</f>
        <v>324427.84</v>
      </c>
    </row>
    <row r="23" customFormat="false" ht="18" hidden="false" customHeight="true" outlineLevel="0" collapsed="false">
      <c r="A23" s="4" t="s">
        <v>172</v>
      </c>
      <c r="B23" s="4" t="s">
        <v>21</v>
      </c>
      <c r="C23" s="4" t="s">
        <v>9</v>
      </c>
      <c r="D23" s="5" t="n">
        <v>1631.4</v>
      </c>
      <c r="E23" s="5" t="n">
        <v>119.6</v>
      </c>
      <c r="F23" s="6" t="n">
        <f aca="false">D23*E23</f>
        <v>195115.44</v>
      </c>
    </row>
    <row r="24" customFormat="false" ht="18" hidden="false" customHeight="true" outlineLevel="0" collapsed="false">
      <c r="A24" s="7" t="s">
        <v>173</v>
      </c>
      <c r="B24" s="7" t="s">
        <v>21</v>
      </c>
      <c r="C24" s="7" t="s">
        <v>12</v>
      </c>
      <c r="D24" s="8" t="n">
        <v>458.2</v>
      </c>
      <c r="E24" s="8" t="n">
        <v>138.4</v>
      </c>
      <c r="F24" s="9" t="n">
        <f aca="false">D24*E24</f>
        <v>63414.88</v>
      </c>
    </row>
    <row r="25" customFormat="false" ht="18" hidden="false" customHeight="true" outlineLevel="0" collapsed="false">
      <c r="A25" s="4" t="s">
        <v>174</v>
      </c>
      <c r="B25" s="4" t="s">
        <v>17</v>
      </c>
      <c r="C25" s="4" t="s">
        <v>9</v>
      </c>
      <c r="D25" s="5" t="n">
        <v>3570.6</v>
      </c>
      <c r="E25" s="5" t="n">
        <v>128.6</v>
      </c>
      <c r="F25" s="6" t="n">
        <f aca="false">D25*E25</f>
        <v>459179.16</v>
      </c>
    </row>
    <row r="26" customFormat="false" ht="18" hidden="false" customHeight="true" outlineLevel="0" collapsed="false">
      <c r="A26" s="7" t="s">
        <v>175</v>
      </c>
      <c r="B26" s="7" t="s">
        <v>21</v>
      </c>
      <c r="C26" s="7" t="s">
        <v>9</v>
      </c>
      <c r="D26" s="8" t="n">
        <v>3039.4</v>
      </c>
      <c r="E26" s="8" t="n">
        <v>120.5</v>
      </c>
      <c r="F26" s="9" t="n">
        <f aca="false">D26*E26</f>
        <v>366247.7</v>
      </c>
    </row>
    <row r="27" customFormat="false" ht="18" hidden="false" customHeight="true" outlineLevel="0" collapsed="false">
      <c r="A27" s="4" t="s">
        <v>176</v>
      </c>
      <c r="B27" s="4" t="s">
        <v>32</v>
      </c>
      <c r="C27" s="4" t="s">
        <v>9</v>
      </c>
      <c r="D27" s="5" t="n">
        <v>1267.8</v>
      </c>
      <c r="E27" s="5" t="n">
        <v>116.2</v>
      </c>
      <c r="F27" s="6" t="n">
        <f aca="false">D27*E27</f>
        <v>147318.36</v>
      </c>
    </row>
    <row r="28" customFormat="false" ht="21.75" hidden="false" customHeight="true" outlineLevel="0" collapsed="false">
      <c r="A28" s="10" t="s">
        <v>61</v>
      </c>
      <c r="B28" s="10"/>
      <c r="C28" s="10"/>
      <c r="D28" s="11" t="n">
        <f aca="false">SUM(D3:D27)</f>
        <v>40598.9</v>
      </c>
      <c r="E28" s="12" t="s">
        <v>62</v>
      </c>
      <c r="F28" s="12" t="n">
        <f aca="false">SUM(F3:F27)</f>
        <v>4722504.29</v>
      </c>
    </row>
  </sheetData>
  <mergeCells count="2">
    <mergeCell ref="A1:F1"/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2026-05-14T14:11:58Z</dcterms:created>
  <dc:creator>openpyxl</dc:creator>
  <dc:description/>
  <dc:language>en-US</dc:language>
  <cp:lastModifiedBy/>
  <dcterms:modified xsi:type="dcterms:W3CDTF">2026-05-14T14:12:19Z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