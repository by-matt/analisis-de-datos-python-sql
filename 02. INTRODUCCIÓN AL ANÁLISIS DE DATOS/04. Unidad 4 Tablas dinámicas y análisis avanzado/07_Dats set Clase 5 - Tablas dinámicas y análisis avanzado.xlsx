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Tabla dinámica" sheetId="2" r:id="rId6"/>
    <sheet state="visible" name="Resumen Mensual" sheetId="3" r:id="rId7"/>
    <sheet state="visible" name="Resumen Vendedor" sheetId="4" r:id="rId8"/>
  </sheets>
  <definedNames/>
  <calcPr/>
</workbook>
</file>

<file path=xl/sharedStrings.xml><?xml version="1.0" encoding="utf-8"?>
<sst xmlns="http://schemas.openxmlformats.org/spreadsheetml/2006/main" count="1089" uniqueCount="115">
  <si>
    <t>DATOS DE VENTAS 2024</t>
  </si>
  <si>
    <t>Fecha</t>
  </si>
  <si>
    <t>Sucursal</t>
  </si>
  <si>
    <t>Producto</t>
  </si>
  <si>
    <t>Cat. ID</t>
  </si>
  <si>
    <t>Categoría</t>
  </si>
  <si>
    <t>Cantidad</t>
  </si>
  <si>
    <t>Precio Unitario</t>
  </si>
  <si>
    <t>Total Venta</t>
  </si>
  <si>
    <t>Vendedor</t>
  </si>
  <si>
    <t>Sucursal R</t>
  </si>
  <si>
    <t>Zapatos Clarks</t>
  </si>
  <si>
    <t>Ropa</t>
  </si>
  <si>
    <t>Alejandro Díaz</t>
  </si>
  <si>
    <t>Sucursal K</t>
  </si>
  <si>
    <t>LEGO City 500pzs</t>
  </si>
  <si>
    <t>Juguetes</t>
  </si>
  <si>
    <t>Javiera Ramírez</t>
  </si>
  <si>
    <t>Sucursal B</t>
  </si>
  <si>
    <t>Pack Galletas</t>
  </si>
  <si>
    <t>Alimentos</t>
  </si>
  <si>
    <t>Carlos Rojas</t>
  </si>
  <si>
    <t>Sucursal E</t>
  </si>
  <si>
    <t>Chaqueta Columbia</t>
  </si>
  <si>
    <t>Camila Pérez</t>
  </si>
  <si>
    <t>Sucursal Q</t>
  </si>
  <si>
    <t>Licuadora Oster</t>
  </si>
  <si>
    <t>Hogar</t>
  </si>
  <si>
    <t>Paula Herrera</t>
  </si>
  <si>
    <t>Sucursal D</t>
  </si>
  <si>
    <t>Balón Adidas</t>
  </si>
  <si>
    <t>Deportes</t>
  </si>
  <si>
    <t>Diego González</t>
  </si>
  <si>
    <t>Televisor 55''</t>
  </si>
  <si>
    <t>Electrónica</t>
  </si>
  <si>
    <t>Casco Ciclismo</t>
  </si>
  <si>
    <t>Sucursal O</t>
  </si>
  <si>
    <t>Bicicleta Trek</t>
  </si>
  <si>
    <t>Renata Contreras</t>
  </si>
  <si>
    <t>Aceite de Oliva</t>
  </si>
  <si>
    <t>Sucursal M</t>
  </si>
  <si>
    <t>Smartphone Samsung</t>
  </si>
  <si>
    <t>Florencia Morales</t>
  </si>
  <si>
    <t>Notebook HP</t>
  </si>
  <si>
    <t>Sucursal S</t>
  </si>
  <si>
    <t>Vino Reserva</t>
  </si>
  <si>
    <t>Camila Reyes</t>
  </si>
  <si>
    <t>Sucursal J</t>
  </si>
  <si>
    <t>Cafetera Nespresso</t>
  </si>
  <si>
    <t>Nicolás Torres</t>
  </si>
  <si>
    <t>Raqueta Wilson</t>
  </si>
  <si>
    <t>Sucursal H</t>
  </si>
  <si>
    <t>Tomás Silva</t>
  </si>
  <si>
    <t>Sucursal F</t>
  </si>
  <si>
    <t>Sebastián Muñoz</t>
  </si>
  <si>
    <t>Sucursal T</t>
  </si>
  <si>
    <t>Mouse Logitech</t>
  </si>
  <si>
    <t>Tecnología</t>
  </si>
  <si>
    <t>Bastián Flores</t>
  </si>
  <si>
    <t>Sucursal C</t>
  </si>
  <si>
    <t>Teclado Mecánico</t>
  </si>
  <si>
    <t>Valentina López</t>
  </si>
  <si>
    <t>Sucursal N</t>
  </si>
  <si>
    <t>Felipe Jiménez</t>
  </si>
  <si>
    <t>Sucursal A</t>
  </si>
  <si>
    <t>Ana Martínez</t>
  </si>
  <si>
    <t>Zapatillas Nike Run</t>
  </si>
  <si>
    <t>Sucursal G</t>
  </si>
  <si>
    <t>Tablet iPad</t>
  </si>
  <si>
    <t>Isidora Fernández</t>
  </si>
  <si>
    <t>Sucursal L</t>
  </si>
  <si>
    <t>Andrés Vargas</t>
  </si>
  <si>
    <t>Vestido Zara</t>
  </si>
  <si>
    <t>Sucursal I</t>
  </si>
  <si>
    <t>Antonia Castro</t>
  </si>
  <si>
    <t>Impresora HP</t>
  </si>
  <si>
    <t>Sucursal P</t>
  </si>
  <si>
    <t>Juego Mesa Risk</t>
  </si>
  <si>
    <t>Ignacio Parra</t>
  </si>
  <si>
    <t>Smartwatch Apple</t>
  </si>
  <si>
    <t>Plancha Rowenta</t>
  </si>
  <si>
    <t>Muñeca Barbie</t>
  </si>
  <si>
    <t>Puzzle 1000pzs</t>
  </si>
  <si>
    <t>Auto RC</t>
  </si>
  <si>
    <t>Cámara Canon</t>
  </si>
  <si>
    <t>Jeans Levi's</t>
  </si>
  <si>
    <t>Aspiradora Philips</t>
  </si>
  <si>
    <t>Pack Café Starbucks</t>
  </si>
  <si>
    <t>Polera Tommy</t>
  </si>
  <si>
    <t>Miel Orgánica</t>
  </si>
  <si>
    <t>Microondas LG</t>
  </si>
  <si>
    <t>Audífonos Sony</t>
  </si>
  <si>
    <t>TOTALES</t>
  </si>
  <si>
    <t>TABLA DINÁMICA — TOTAL VENTAS POR SUCURSAL Y CATEGORÍA (2024)</t>
  </si>
  <si>
    <t>Suma de Total Venta  |  Etiquetas de columna → Categorías  |  Etiquetas de fila → Sucursales</t>
  </si>
  <si>
    <t>Total general</t>
  </si>
  <si>
    <t>RESUMEN MENSUAL DE VENTAS 2024 — POR CATEGORÍA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</si>
  <si>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</si>
  <si>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</si>
  <si>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</si>
  <si>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</si>
  <si>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</si>
  <si>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</si>
  <si>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</si>
  <si>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</si>
  <si>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</si>
  <si>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</si>
  <si>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</si>
  <si>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</si>
  <si>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</si>
  <si>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RESUMEN DE VENTAS POR VENDEDOR 2024</t>
  </si>
  <si>
    <t>N° Transacciones</t>
  </si>
  <si>
    <t>Total Vendido ($)</t>
  </si>
  <si>
    <t>% del Total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</si>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</sst>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i/>
      <sz val="10.0"/>
      <color rgb="FF595959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4" fontId="4" numFmtId="164" xfId="0" applyAlignment="1" applyBorder="1" applyFill="1" applyFont="1" applyNumberFormat="1">
      <alignment horizontal="center" shrinkToFit="0" vertical="center" wrapText="0"/>
    </xf>
    <xf borderId="4" fillId="4" fontId="4" numFmtId="0" xfId="0" applyAlignment="1" applyBorder="1" applyFont="1">
      <alignment horizontal="left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4" fillId="4" fontId="4" numFmtId="3" xfId="0" applyAlignment="1" applyBorder="1" applyFont="1" applyNumberFormat="1">
      <alignment horizontal="right" shrinkToFit="0" vertical="center" wrapText="0"/>
    </xf>
    <xf borderId="4" fillId="5" fontId="4" numFmtId="164" xfId="0" applyAlignment="1" applyBorder="1" applyFill="1" applyFont="1" applyNumberFormat="1">
      <alignment horizontal="center" shrinkToFit="0" vertical="center" wrapText="0"/>
    </xf>
    <xf borderId="4" fillId="5" fontId="4" numFmtId="0" xfId="0" applyAlignment="1" applyBorder="1" applyFont="1">
      <alignment horizontal="left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4" fillId="5" fontId="4" numFmtId="3" xfId="0" applyAlignment="1" applyBorder="1" applyFont="1" applyNumberFormat="1">
      <alignment horizontal="right" shrinkToFit="0" vertical="center" wrapText="0"/>
    </xf>
    <xf borderId="4" fillId="2" fontId="5" numFmtId="0" xfId="0" applyAlignment="1" applyBorder="1" applyFont="1">
      <alignment horizontal="center" shrinkToFit="0" vertical="bottom" wrapText="0"/>
    </xf>
    <xf borderId="4" fillId="2" fontId="3" numFmtId="3" xfId="0" applyAlignment="1" applyBorder="1" applyFont="1" applyNumberFormat="1">
      <alignment horizontal="right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4" fillId="2" fontId="3" numFmtId="0" xfId="0" applyAlignment="1" applyBorder="1" applyFont="1">
      <alignment horizontal="center" shrinkToFit="0" vertical="center" wrapText="0"/>
    </xf>
    <xf borderId="4" fillId="6" fontId="3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4" fillId="7" fontId="8" numFmtId="3" xfId="0" applyAlignment="1" applyBorder="1" applyFill="1" applyFont="1" applyNumberFormat="1">
      <alignment horizontal="right" shrinkToFit="0" vertical="center" wrapText="0"/>
    </xf>
    <xf borderId="4" fillId="5" fontId="8" numFmtId="0" xfId="0" applyAlignment="1" applyBorder="1" applyFont="1">
      <alignment horizontal="left" shrinkToFit="0" vertical="center" wrapText="0"/>
    </xf>
    <xf borderId="4" fillId="2" fontId="3" numFmtId="0" xfId="0" applyAlignment="1" applyBorder="1" applyFont="1">
      <alignment horizontal="left" shrinkToFit="0" vertical="center" wrapText="0"/>
    </xf>
    <xf borderId="4" fillId="6" fontId="3" numFmtId="3" xfId="0" applyAlignment="1" applyBorder="1" applyFont="1" applyNumberFormat="1">
      <alignment horizontal="right" shrinkToFit="0" vertical="bottom" wrapText="0"/>
    </xf>
    <xf borderId="4" fillId="2" fontId="3" numFmtId="3" xfId="0" applyAlignment="1" applyBorder="1" applyFont="1" applyNumberFormat="1">
      <alignment horizontal="right" shrinkToFit="0" vertical="bottom" wrapText="0"/>
    </xf>
    <xf borderId="4" fillId="2" fontId="3" numFmtId="0" xfId="0" applyAlignment="1" applyBorder="1" applyFont="1">
      <alignment horizontal="left" shrinkToFit="0" vertical="bottom" wrapText="0"/>
    </xf>
    <xf borderId="4" fillId="4" fontId="4" numFmtId="165" xfId="0" applyAlignment="1" applyBorder="1" applyFont="1" applyNumberFormat="1">
      <alignment horizontal="center" shrinkToFit="0" vertical="center" wrapText="0"/>
    </xf>
    <xf borderId="4" fillId="5" fontId="4" numFmtId="165" xfId="0" applyAlignment="1" applyBorder="1" applyFont="1" applyNumberForma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bottom" wrapText="0"/>
    </xf>
    <xf borderId="4" fillId="2" fontId="3" numFmtId="3" xfId="0" applyAlignment="1" applyBorder="1" applyFont="1" applyNumberFormat="1">
      <alignment horizontal="center" shrinkToFit="0" vertical="bottom" wrapText="0"/>
    </xf>
    <xf borderId="4" fillId="2" fontId="3" numFmtId="165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10.0"/>
    <col customWidth="1" min="5" max="5" width="14.0"/>
    <col customWidth="1" min="6" max="6" width="10.0"/>
    <col customWidth="1" min="7" max="8" width="16.0"/>
    <col customWidth="1" min="9" max="9" width="1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5.0" customHeight="1">
      <c r="A3" s="5">
        <v>45293.0</v>
      </c>
      <c r="B3" s="6" t="s">
        <v>10</v>
      </c>
      <c r="C3" s="6" t="s">
        <v>11</v>
      </c>
      <c r="D3" s="7">
        <v>4.0</v>
      </c>
      <c r="E3" s="6" t="s">
        <v>12</v>
      </c>
      <c r="F3" s="7">
        <v>17.0</v>
      </c>
      <c r="G3" s="8">
        <v>74000.0</v>
      </c>
      <c r="H3" s="8">
        <f t="shared" ref="H3:H246" si="1">F3*G3</f>
        <v>1258000</v>
      </c>
      <c r="I3" s="6" t="s">
        <v>13</v>
      </c>
    </row>
    <row r="4" ht="15.0" customHeight="1">
      <c r="A4" s="9">
        <v>45294.0</v>
      </c>
      <c r="B4" s="10" t="s">
        <v>14</v>
      </c>
      <c r="C4" s="10" t="s">
        <v>15</v>
      </c>
      <c r="D4" s="11">
        <v>7.0</v>
      </c>
      <c r="E4" s="10" t="s">
        <v>16</v>
      </c>
      <c r="F4" s="11">
        <v>26.0</v>
      </c>
      <c r="G4" s="12">
        <v>96000.0</v>
      </c>
      <c r="H4" s="12">
        <f t="shared" si="1"/>
        <v>2496000</v>
      </c>
      <c r="I4" s="10" t="s">
        <v>17</v>
      </c>
    </row>
    <row r="5" ht="15.0" customHeight="1">
      <c r="A5" s="5">
        <v>45295.0</v>
      </c>
      <c r="B5" s="6" t="s">
        <v>18</v>
      </c>
      <c r="C5" s="6" t="s">
        <v>19</v>
      </c>
      <c r="D5" s="7">
        <v>5.0</v>
      </c>
      <c r="E5" s="6" t="s">
        <v>20</v>
      </c>
      <c r="F5" s="7">
        <v>9.0</v>
      </c>
      <c r="G5" s="8">
        <v>14000.0</v>
      </c>
      <c r="H5" s="8">
        <f t="shared" si="1"/>
        <v>126000</v>
      </c>
      <c r="I5" s="6" t="s">
        <v>21</v>
      </c>
    </row>
    <row r="6" ht="15.0" customHeight="1">
      <c r="A6" s="9">
        <v>45295.0</v>
      </c>
      <c r="B6" s="10" t="s">
        <v>22</v>
      </c>
      <c r="C6" s="10" t="s">
        <v>23</v>
      </c>
      <c r="D6" s="11">
        <v>4.0</v>
      </c>
      <c r="E6" s="10" t="s">
        <v>12</v>
      </c>
      <c r="F6" s="11">
        <v>13.0</v>
      </c>
      <c r="G6" s="12">
        <v>103000.0</v>
      </c>
      <c r="H6" s="12">
        <f t="shared" si="1"/>
        <v>1339000</v>
      </c>
      <c r="I6" s="10" t="s">
        <v>24</v>
      </c>
    </row>
    <row r="7" ht="15.0" customHeight="1">
      <c r="A7" s="5">
        <v>45298.0</v>
      </c>
      <c r="B7" s="6" t="s">
        <v>25</v>
      </c>
      <c r="C7" s="6" t="s">
        <v>26</v>
      </c>
      <c r="D7" s="7">
        <v>2.0</v>
      </c>
      <c r="E7" s="6" t="s">
        <v>27</v>
      </c>
      <c r="F7" s="7">
        <v>28.0</v>
      </c>
      <c r="G7" s="8">
        <v>43000.0</v>
      </c>
      <c r="H7" s="8">
        <f t="shared" si="1"/>
        <v>1204000</v>
      </c>
      <c r="I7" s="6" t="s">
        <v>28</v>
      </c>
    </row>
    <row r="8" ht="15.0" customHeight="1">
      <c r="A8" s="9">
        <v>45298.0</v>
      </c>
      <c r="B8" s="10" t="s">
        <v>29</v>
      </c>
      <c r="C8" s="10" t="s">
        <v>30</v>
      </c>
      <c r="D8" s="11">
        <v>3.0</v>
      </c>
      <c r="E8" s="10" t="s">
        <v>31</v>
      </c>
      <c r="F8" s="11">
        <v>56.0</v>
      </c>
      <c r="G8" s="12">
        <v>36000.0</v>
      </c>
      <c r="H8" s="12">
        <f t="shared" si="1"/>
        <v>2016000</v>
      </c>
      <c r="I8" s="10" t="s">
        <v>32</v>
      </c>
    </row>
    <row r="9" ht="15.0" customHeight="1">
      <c r="A9" s="5">
        <v>45300.0</v>
      </c>
      <c r="B9" s="6" t="s">
        <v>10</v>
      </c>
      <c r="C9" s="6" t="s">
        <v>33</v>
      </c>
      <c r="D9" s="7">
        <v>1.0</v>
      </c>
      <c r="E9" s="6" t="s">
        <v>34</v>
      </c>
      <c r="F9" s="7">
        <v>93.0</v>
      </c>
      <c r="G9" s="8">
        <v>652000.0</v>
      </c>
      <c r="H9" s="8">
        <f t="shared" si="1"/>
        <v>60636000</v>
      </c>
      <c r="I9" s="6" t="s">
        <v>13</v>
      </c>
    </row>
    <row r="10" ht="15.0" customHeight="1">
      <c r="A10" s="9">
        <v>45301.0</v>
      </c>
      <c r="B10" s="10" t="s">
        <v>10</v>
      </c>
      <c r="C10" s="10" t="s">
        <v>35</v>
      </c>
      <c r="D10" s="11">
        <v>3.0</v>
      </c>
      <c r="E10" s="10" t="s">
        <v>31</v>
      </c>
      <c r="F10" s="11">
        <v>23.0</v>
      </c>
      <c r="G10" s="12">
        <v>69000.0</v>
      </c>
      <c r="H10" s="12">
        <f t="shared" si="1"/>
        <v>1587000</v>
      </c>
      <c r="I10" s="10" t="s">
        <v>13</v>
      </c>
    </row>
    <row r="11" ht="15.0" customHeight="1">
      <c r="A11" s="5">
        <v>45303.0</v>
      </c>
      <c r="B11" s="6" t="s">
        <v>36</v>
      </c>
      <c r="C11" s="6" t="s">
        <v>37</v>
      </c>
      <c r="D11" s="7">
        <v>3.0</v>
      </c>
      <c r="E11" s="6" t="s">
        <v>31</v>
      </c>
      <c r="F11" s="7">
        <v>14.0</v>
      </c>
      <c r="G11" s="8">
        <v>425000.0</v>
      </c>
      <c r="H11" s="8">
        <f t="shared" si="1"/>
        <v>5950000</v>
      </c>
      <c r="I11" s="6" t="s">
        <v>38</v>
      </c>
    </row>
    <row r="12" ht="15.0" customHeight="1">
      <c r="A12" s="9">
        <v>45304.0</v>
      </c>
      <c r="B12" s="10" t="s">
        <v>18</v>
      </c>
      <c r="C12" s="10" t="s">
        <v>39</v>
      </c>
      <c r="D12" s="11">
        <v>5.0</v>
      </c>
      <c r="E12" s="10" t="s">
        <v>20</v>
      </c>
      <c r="F12" s="11">
        <v>44.0</v>
      </c>
      <c r="G12" s="12">
        <v>23000.0</v>
      </c>
      <c r="H12" s="12">
        <f t="shared" si="1"/>
        <v>1012000</v>
      </c>
      <c r="I12" s="10" t="s">
        <v>21</v>
      </c>
    </row>
    <row r="13" ht="15.0" customHeight="1">
      <c r="A13" s="5">
        <v>45306.0</v>
      </c>
      <c r="B13" s="6" t="s">
        <v>40</v>
      </c>
      <c r="C13" s="6" t="s">
        <v>41</v>
      </c>
      <c r="D13" s="7">
        <v>1.0</v>
      </c>
      <c r="E13" s="6" t="s">
        <v>34</v>
      </c>
      <c r="F13" s="7">
        <v>10.0</v>
      </c>
      <c r="G13" s="8">
        <v>483000.0</v>
      </c>
      <c r="H13" s="8">
        <f t="shared" si="1"/>
        <v>4830000</v>
      </c>
      <c r="I13" s="6" t="s">
        <v>42</v>
      </c>
    </row>
    <row r="14" ht="15.0" customHeight="1">
      <c r="A14" s="9">
        <v>45307.0</v>
      </c>
      <c r="B14" s="10" t="s">
        <v>40</v>
      </c>
      <c r="C14" s="10" t="s">
        <v>43</v>
      </c>
      <c r="D14" s="11">
        <v>1.0</v>
      </c>
      <c r="E14" s="10" t="s">
        <v>34</v>
      </c>
      <c r="F14" s="11">
        <v>15.0</v>
      </c>
      <c r="G14" s="12">
        <v>522000.0</v>
      </c>
      <c r="H14" s="12">
        <f t="shared" si="1"/>
        <v>7830000</v>
      </c>
      <c r="I14" s="10" t="s">
        <v>42</v>
      </c>
    </row>
    <row r="15" ht="15.0" customHeight="1">
      <c r="A15" s="5">
        <v>45309.0</v>
      </c>
      <c r="B15" s="6" t="s">
        <v>44</v>
      </c>
      <c r="C15" s="6" t="s">
        <v>45</v>
      </c>
      <c r="D15" s="7">
        <v>5.0</v>
      </c>
      <c r="E15" s="6" t="s">
        <v>20</v>
      </c>
      <c r="F15" s="7">
        <v>13.0</v>
      </c>
      <c r="G15" s="8">
        <v>31000.0</v>
      </c>
      <c r="H15" s="8">
        <f t="shared" si="1"/>
        <v>403000</v>
      </c>
      <c r="I15" s="6" t="s">
        <v>46</v>
      </c>
    </row>
    <row r="16" ht="15.0" customHeight="1">
      <c r="A16" s="9">
        <v>45312.0</v>
      </c>
      <c r="B16" s="10" t="s">
        <v>29</v>
      </c>
      <c r="C16" s="10" t="s">
        <v>45</v>
      </c>
      <c r="D16" s="11">
        <v>5.0</v>
      </c>
      <c r="E16" s="10" t="s">
        <v>20</v>
      </c>
      <c r="F16" s="11">
        <v>50.0</v>
      </c>
      <c r="G16" s="12">
        <v>30000.0</v>
      </c>
      <c r="H16" s="12">
        <f t="shared" si="1"/>
        <v>1500000</v>
      </c>
      <c r="I16" s="10" t="s">
        <v>32</v>
      </c>
    </row>
    <row r="17" ht="15.0" customHeight="1">
      <c r="A17" s="5">
        <v>45313.0</v>
      </c>
      <c r="B17" s="6" t="s">
        <v>47</v>
      </c>
      <c r="C17" s="6" t="s">
        <v>48</v>
      </c>
      <c r="D17" s="7">
        <v>2.0</v>
      </c>
      <c r="E17" s="6" t="s">
        <v>27</v>
      </c>
      <c r="F17" s="7">
        <v>39.0</v>
      </c>
      <c r="G17" s="8">
        <v>95000.0</v>
      </c>
      <c r="H17" s="8">
        <f t="shared" si="1"/>
        <v>3705000</v>
      </c>
      <c r="I17" s="6" t="s">
        <v>49</v>
      </c>
    </row>
    <row r="18" ht="15.0" customHeight="1">
      <c r="A18" s="9">
        <v>45314.0</v>
      </c>
      <c r="B18" s="10" t="s">
        <v>25</v>
      </c>
      <c r="C18" s="10" t="s">
        <v>26</v>
      </c>
      <c r="D18" s="11">
        <v>2.0</v>
      </c>
      <c r="E18" s="10" t="s">
        <v>27</v>
      </c>
      <c r="F18" s="11">
        <v>31.0</v>
      </c>
      <c r="G18" s="12">
        <v>48000.0</v>
      </c>
      <c r="H18" s="12">
        <f t="shared" si="1"/>
        <v>1488000</v>
      </c>
      <c r="I18" s="10" t="s">
        <v>28</v>
      </c>
    </row>
    <row r="19" ht="15.0" customHeight="1">
      <c r="A19" s="5">
        <v>45315.0</v>
      </c>
      <c r="B19" s="6" t="s">
        <v>10</v>
      </c>
      <c r="C19" s="6" t="s">
        <v>50</v>
      </c>
      <c r="D19" s="7">
        <v>3.0</v>
      </c>
      <c r="E19" s="6" t="s">
        <v>31</v>
      </c>
      <c r="F19" s="7">
        <v>44.0</v>
      </c>
      <c r="G19" s="8">
        <v>85000.0</v>
      </c>
      <c r="H19" s="8">
        <f t="shared" si="1"/>
        <v>3740000</v>
      </c>
      <c r="I19" s="6" t="s">
        <v>13</v>
      </c>
    </row>
    <row r="20" ht="15.0" customHeight="1">
      <c r="A20" s="9">
        <v>45317.0</v>
      </c>
      <c r="B20" s="10" t="s">
        <v>51</v>
      </c>
      <c r="C20" s="10" t="s">
        <v>26</v>
      </c>
      <c r="D20" s="11">
        <v>2.0</v>
      </c>
      <c r="E20" s="10" t="s">
        <v>27</v>
      </c>
      <c r="F20" s="11">
        <v>4.0</v>
      </c>
      <c r="G20" s="12">
        <v>41000.0</v>
      </c>
      <c r="H20" s="12">
        <f t="shared" si="1"/>
        <v>164000</v>
      </c>
      <c r="I20" s="10" t="s">
        <v>52</v>
      </c>
    </row>
    <row r="21" ht="15.0" customHeight="1">
      <c r="A21" s="5">
        <v>45322.0</v>
      </c>
      <c r="B21" s="6" t="s">
        <v>53</v>
      </c>
      <c r="C21" s="6" t="s">
        <v>19</v>
      </c>
      <c r="D21" s="7">
        <v>5.0</v>
      </c>
      <c r="E21" s="6" t="s">
        <v>20</v>
      </c>
      <c r="F21" s="7">
        <v>24.0</v>
      </c>
      <c r="G21" s="8">
        <v>13000.0</v>
      </c>
      <c r="H21" s="8">
        <f t="shared" si="1"/>
        <v>312000</v>
      </c>
      <c r="I21" s="6" t="s">
        <v>54</v>
      </c>
    </row>
    <row r="22" ht="15.0" customHeight="1">
      <c r="A22" s="9">
        <v>45325.0</v>
      </c>
      <c r="B22" s="10" t="s">
        <v>44</v>
      </c>
      <c r="C22" s="10" t="s">
        <v>45</v>
      </c>
      <c r="D22" s="11">
        <v>5.0</v>
      </c>
      <c r="E22" s="10" t="s">
        <v>20</v>
      </c>
      <c r="F22" s="11">
        <v>1.0</v>
      </c>
      <c r="G22" s="12">
        <v>20000.0</v>
      </c>
      <c r="H22" s="12">
        <f t="shared" si="1"/>
        <v>20000</v>
      </c>
      <c r="I22" s="10" t="s">
        <v>46</v>
      </c>
    </row>
    <row r="23" ht="15.0" customHeight="1">
      <c r="A23" s="5">
        <v>45326.0</v>
      </c>
      <c r="B23" s="6" t="s">
        <v>55</v>
      </c>
      <c r="C23" s="6" t="s">
        <v>56</v>
      </c>
      <c r="D23" s="7">
        <v>6.0</v>
      </c>
      <c r="E23" s="6" t="s">
        <v>57</v>
      </c>
      <c r="F23" s="7">
        <v>16.0</v>
      </c>
      <c r="G23" s="8">
        <v>40000.0</v>
      </c>
      <c r="H23" s="8">
        <f t="shared" si="1"/>
        <v>640000</v>
      </c>
      <c r="I23" s="6" t="s">
        <v>58</v>
      </c>
    </row>
    <row r="24" ht="15.0" customHeight="1">
      <c r="A24" s="9">
        <v>45327.0</v>
      </c>
      <c r="B24" s="10" t="s">
        <v>10</v>
      </c>
      <c r="C24" s="10" t="s">
        <v>35</v>
      </c>
      <c r="D24" s="11">
        <v>3.0</v>
      </c>
      <c r="E24" s="10" t="s">
        <v>31</v>
      </c>
      <c r="F24" s="11">
        <v>44.0</v>
      </c>
      <c r="G24" s="12">
        <v>60000.0</v>
      </c>
      <c r="H24" s="12">
        <f t="shared" si="1"/>
        <v>2640000</v>
      </c>
      <c r="I24" s="10" t="s">
        <v>13</v>
      </c>
    </row>
    <row r="25" ht="15.0" customHeight="1">
      <c r="A25" s="5">
        <v>45328.0</v>
      </c>
      <c r="B25" s="6" t="s">
        <v>22</v>
      </c>
      <c r="C25" s="6" t="s">
        <v>11</v>
      </c>
      <c r="D25" s="7">
        <v>4.0</v>
      </c>
      <c r="E25" s="6" t="s">
        <v>12</v>
      </c>
      <c r="F25" s="7">
        <v>44.0</v>
      </c>
      <c r="G25" s="8">
        <v>80000.0</v>
      </c>
      <c r="H25" s="8">
        <f t="shared" si="1"/>
        <v>3520000</v>
      </c>
      <c r="I25" s="6" t="s">
        <v>24</v>
      </c>
    </row>
    <row r="26" ht="15.0" customHeight="1">
      <c r="A26" s="9">
        <v>45330.0</v>
      </c>
      <c r="B26" s="10" t="s">
        <v>59</v>
      </c>
      <c r="C26" s="10" t="s">
        <v>60</v>
      </c>
      <c r="D26" s="11">
        <v>6.0</v>
      </c>
      <c r="E26" s="10" t="s">
        <v>57</v>
      </c>
      <c r="F26" s="11">
        <v>1.0</v>
      </c>
      <c r="G26" s="12">
        <v>93000.0</v>
      </c>
      <c r="H26" s="12">
        <f t="shared" si="1"/>
        <v>93000</v>
      </c>
      <c r="I26" s="10" t="s">
        <v>61</v>
      </c>
    </row>
    <row r="27" ht="15.0" customHeight="1">
      <c r="A27" s="5">
        <v>45334.0</v>
      </c>
      <c r="B27" s="6" t="s">
        <v>62</v>
      </c>
      <c r="C27" s="6" t="s">
        <v>48</v>
      </c>
      <c r="D27" s="7">
        <v>2.0</v>
      </c>
      <c r="E27" s="6" t="s">
        <v>27</v>
      </c>
      <c r="F27" s="7">
        <v>8.0</v>
      </c>
      <c r="G27" s="8">
        <v>96000.0</v>
      </c>
      <c r="H27" s="8">
        <f t="shared" si="1"/>
        <v>768000</v>
      </c>
      <c r="I27" s="6" t="s">
        <v>63</v>
      </c>
    </row>
    <row r="28" ht="15.0" customHeight="1">
      <c r="A28" s="9">
        <v>45335.0</v>
      </c>
      <c r="B28" s="10" t="s">
        <v>64</v>
      </c>
      <c r="C28" s="10" t="s">
        <v>11</v>
      </c>
      <c r="D28" s="11">
        <v>4.0</v>
      </c>
      <c r="E28" s="10" t="s">
        <v>12</v>
      </c>
      <c r="F28" s="11">
        <v>31.0</v>
      </c>
      <c r="G28" s="12">
        <v>73000.0</v>
      </c>
      <c r="H28" s="12">
        <f t="shared" si="1"/>
        <v>2263000</v>
      </c>
      <c r="I28" s="10" t="s">
        <v>65</v>
      </c>
    </row>
    <row r="29" ht="15.0" customHeight="1">
      <c r="A29" s="5">
        <v>45335.0</v>
      </c>
      <c r="B29" s="6" t="s">
        <v>36</v>
      </c>
      <c r="C29" s="6" t="s">
        <v>66</v>
      </c>
      <c r="D29" s="7">
        <v>3.0</v>
      </c>
      <c r="E29" s="6" t="s">
        <v>31</v>
      </c>
      <c r="F29" s="7">
        <v>13.0</v>
      </c>
      <c r="G29" s="8">
        <v>103000.0</v>
      </c>
      <c r="H29" s="8">
        <f t="shared" si="1"/>
        <v>1339000</v>
      </c>
      <c r="I29" s="6" t="s">
        <v>38</v>
      </c>
    </row>
    <row r="30" ht="15.0" customHeight="1">
      <c r="A30" s="9">
        <v>45337.0</v>
      </c>
      <c r="B30" s="10" t="s">
        <v>18</v>
      </c>
      <c r="C30" s="10" t="s">
        <v>39</v>
      </c>
      <c r="D30" s="11">
        <v>5.0</v>
      </c>
      <c r="E30" s="10" t="s">
        <v>20</v>
      </c>
      <c r="F30" s="11">
        <v>40.0</v>
      </c>
      <c r="G30" s="12">
        <v>17000.0</v>
      </c>
      <c r="H30" s="12">
        <f t="shared" si="1"/>
        <v>680000</v>
      </c>
      <c r="I30" s="10" t="s">
        <v>21</v>
      </c>
    </row>
    <row r="31" ht="15.0" customHeight="1">
      <c r="A31" s="5">
        <v>45338.0</v>
      </c>
      <c r="B31" s="6" t="s">
        <v>67</v>
      </c>
      <c r="C31" s="6" t="s">
        <v>68</v>
      </c>
      <c r="D31" s="7">
        <v>6.0</v>
      </c>
      <c r="E31" s="6" t="s">
        <v>57</v>
      </c>
      <c r="F31" s="7">
        <v>81.0</v>
      </c>
      <c r="G31" s="8">
        <v>432000.0</v>
      </c>
      <c r="H31" s="8">
        <f t="shared" si="1"/>
        <v>34992000</v>
      </c>
      <c r="I31" s="6" t="s">
        <v>69</v>
      </c>
    </row>
    <row r="32" ht="15.0" customHeight="1">
      <c r="A32" s="9">
        <v>45339.0</v>
      </c>
      <c r="B32" s="10" t="s">
        <v>70</v>
      </c>
      <c r="C32" s="10" t="s">
        <v>23</v>
      </c>
      <c r="D32" s="11">
        <v>4.0</v>
      </c>
      <c r="E32" s="10" t="s">
        <v>12</v>
      </c>
      <c r="F32" s="11">
        <v>11.0</v>
      </c>
      <c r="G32" s="12">
        <v>109000.0</v>
      </c>
      <c r="H32" s="12">
        <f t="shared" si="1"/>
        <v>1199000</v>
      </c>
      <c r="I32" s="10" t="s">
        <v>71</v>
      </c>
    </row>
    <row r="33" ht="15.0" customHeight="1">
      <c r="A33" s="5">
        <v>45344.0</v>
      </c>
      <c r="B33" s="6" t="s">
        <v>70</v>
      </c>
      <c r="C33" s="6" t="s">
        <v>72</v>
      </c>
      <c r="D33" s="7">
        <v>4.0</v>
      </c>
      <c r="E33" s="6" t="s">
        <v>12</v>
      </c>
      <c r="F33" s="7">
        <v>12.0</v>
      </c>
      <c r="G33" s="8">
        <v>64000.0</v>
      </c>
      <c r="H33" s="8">
        <f t="shared" si="1"/>
        <v>768000</v>
      </c>
      <c r="I33" s="6" t="s">
        <v>71</v>
      </c>
    </row>
    <row r="34" ht="15.0" customHeight="1">
      <c r="A34" s="9">
        <v>45346.0</v>
      </c>
      <c r="B34" s="10" t="s">
        <v>44</v>
      </c>
      <c r="C34" s="10" t="s">
        <v>39</v>
      </c>
      <c r="D34" s="11">
        <v>5.0</v>
      </c>
      <c r="E34" s="10" t="s">
        <v>20</v>
      </c>
      <c r="F34" s="11">
        <v>9.0</v>
      </c>
      <c r="G34" s="12">
        <v>19000.0</v>
      </c>
      <c r="H34" s="12">
        <f t="shared" si="1"/>
        <v>171000</v>
      </c>
      <c r="I34" s="10" t="s">
        <v>46</v>
      </c>
    </row>
    <row r="35" ht="15.0" customHeight="1">
      <c r="A35" s="5">
        <v>45349.0</v>
      </c>
      <c r="B35" s="6" t="s">
        <v>73</v>
      </c>
      <c r="C35" s="6" t="s">
        <v>39</v>
      </c>
      <c r="D35" s="7">
        <v>5.0</v>
      </c>
      <c r="E35" s="6" t="s">
        <v>20</v>
      </c>
      <c r="F35" s="7">
        <v>42.0</v>
      </c>
      <c r="G35" s="8">
        <v>23000.0</v>
      </c>
      <c r="H35" s="8">
        <f t="shared" si="1"/>
        <v>966000</v>
      </c>
      <c r="I35" s="6" t="s">
        <v>74</v>
      </c>
    </row>
    <row r="36" ht="15.0" customHeight="1">
      <c r="A36" s="9">
        <v>45350.0</v>
      </c>
      <c r="B36" s="10" t="s">
        <v>25</v>
      </c>
      <c r="C36" s="10" t="s">
        <v>48</v>
      </c>
      <c r="D36" s="11">
        <v>2.0</v>
      </c>
      <c r="E36" s="10" t="s">
        <v>27</v>
      </c>
      <c r="F36" s="11">
        <v>14.0</v>
      </c>
      <c r="G36" s="12">
        <v>91000.0</v>
      </c>
      <c r="H36" s="12">
        <f t="shared" si="1"/>
        <v>1274000</v>
      </c>
      <c r="I36" s="10" t="s">
        <v>28</v>
      </c>
    </row>
    <row r="37" ht="15.0" customHeight="1">
      <c r="A37" s="5">
        <v>45351.0</v>
      </c>
      <c r="B37" s="6" t="s">
        <v>62</v>
      </c>
      <c r="C37" s="6" t="s">
        <v>30</v>
      </c>
      <c r="D37" s="7">
        <v>3.0</v>
      </c>
      <c r="E37" s="6" t="s">
        <v>31</v>
      </c>
      <c r="F37" s="7">
        <v>45.0</v>
      </c>
      <c r="G37" s="8">
        <v>27000.0</v>
      </c>
      <c r="H37" s="8">
        <f t="shared" si="1"/>
        <v>1215000</v>
      </c>
      <c r="I37" s="6" t="s">
        <v>63</v>
      </c>
    </row>
    <row r="38" ht="15.0" customHeight="1">
      <c r="A38" s="9">
        <v>45352.0</v>
      </c>
      <c r="B38" s="10" t="s">
        <v>51</v>
      </c>
      <c r="C38" s="10" t="s">
        <v>26</v>
      </c>
      <c r="D38" s="11">
        <v>2.0</v>
      </c>
      <c r="E38" s="10" t="s">
        <v>27</v>
      </c>
      <c r="F38" s="11">
        <v>18.0</v>
      </c>
      <c r="G38" s="12">
        <v>46000.0</v>
      </c>
      <c r="H38" s="12">
        <f t="shared" si="1"/>
        <v>828000</v>
      </c>
      <c r="I38" s="10" t="s">
        <v>52</v>
      </c>
    </row>
    <row r="39" ht="15.0" customHeight="1">
      <c r="A39" s="5">
        <v>45353.0</v>
      </c>
      <c r="B39" s="6" t="s">
        <v>59</v>
      </c>
      <c r="C39" s="6" t="s">
        <v>75</v>
      </c>
      <c r="D39" s="7">
        <v>6.0</v>
      </c>
      <c r="E39" s="6" t="s">
        <v>57</v>
      </c>
      <c r="F39" s="7">
        <v>44.0</v>
      </c>
      <c r="G39" s="8">
        <v>146000.0</v>
      </c>
      <c r="H39" s="8">
        <f t="shared" si="1"/>
        <v>6424000</v>
      </c>
      <c r="I39" s="6" t="s">
        <v>61</v>
      </c>
    </row>
    <row r="40" ht="15.0" customHeight="1">
      <c r="A40" s="9">
        <v>45356.0</v>
      </c>
      <c r="B40" s="10" t="s">
        <v>47</v>
      </c>
      <c r="C40" s="10" t="s">
        <v>26</v>
      </c>
      <c r="D40" s="11">
        <v>2.0</v>
      </c>
      <c r="E40" s="10" t="s">
        <v>27</v>
      </c>
      <c r="F40" s="11">
        <v>5.0</v>
      </c>
      <c r="G40" s="12">
        <v>54000.0</v>
      </c>
      <c r="H40" s="12">
        <f t="shared" si="1"/>
        <v>270000</v>
      </c>
      <c r="I40" s="10" t="s">
        <v>49</v>
      </c>
    </row>
    <row r="41" ht="15.0" customHeight="1">
      <c r="A41" s="5">
        <v>45357.0</v>
      </c>
      <c r="B41" s="6" t="s">
        <v>59</v>
      </c>
      <c r="C41" s="6" t="s">
        <v>75</v>
      </c>
      <c r="D41" s="7">
        <v>6.0</v>
      </c>
      <c r="E41" s="6" t="s">
        <v>57</v>
      </c>
      <c r="F41" s="7">
        <v>4.0</v>
      </c>
      <c r="G41" s="8">
        <v>156000.0</v>
      </c>
      <c r="H41" s="8">
        <f t="shared" si="1"/>
        <v>624000</v>
      </c>
      <c r="I41" s="6" t="s">
        <v>61</v>
      </c>
    </row>
    <row r="42" ht="15.0" customHeight="1">
      <c r="A42" s="9">
        <v>45358.0</v>
      </c>
      <c r="B42" s="10" t="s">
        <v>53</v>
      </c>
      <c r="C42" s="10" t="s">
        <v>39</v>
      </c>
      <c r="D42" s="11">
        <v>5.0</v>
      </c>
      <c r="E42" s="10" t="s">
        <v>20</v>
      </c>
      <c r="F42" s="11">
        <v>45.0</v>
      </c>
      <c r="G42" s="12">
        <v>22000.0</v>
      </c>
      <c r="H42" s="12">
        <f t="shared" si="1"/>
        <v>990000</v>
      </c>
      <c r="I42" s="10" t="s">
        <v>54</v>
      </c>
    </row>
    <row r="43" ht="15.0" customHeight="1">
      <c r="A43" s="5">
        <v>45358.0</v>
      </c>
      <c r="B43" s="6" t="s">
        <v>76</v>
      </c>
      <c r="C43" s="6" t="s">
        <v>77</v>
      </c>
      <c r="D43" s="7">
        <v>7.0</v>
      </c>
      <c r="E43" s="6" t="s">
        <v>16</v>
      </c>
      <c r="F43" s="7">
        <v>40.0</v>
      </c>
      <c r="G43" s="8">
        <v>38000.0</v>
      </c>
      <c r="H43" s="8">
        <f t="shared" si="1"/>
        <v>1520000</v>
      </c>
      <c r="I43" s="6" t="s">
        <v>78</v>
      </c>
    </row>
    <row r="44" ht="15.0" customHeight="1">
      <c r="A44" s="9">
        <v>45359.0</v>
      </c>
      <c r="B44" s="10" t="s">
        <v>18</v>
      </c>
      <c r="C44" s="10" t="s">
        <v>39</v>
      </c>
      <c r="D44" s="11">
        <v>5.0</v>
      </c>
      <c r="E44" s="10" t="s">
        <v>20</v>
      </c>
      <c r="F44" s="11">
        <v>48.0</v>
      </c>
      <c r="G44" s="12">
        <v>12000.0</v>
      </c>
      <c r="H44" s="12">
        <f t="shared" si="1"/>
        <v>576000</v>
      </c>
      <c r="I44" s="10" t="s">
        <v>21</v>
      </c>
    </row>
    <row r="45" ht="15.0" customHeight="1">
      <c r="A45" s="5">
        <v>45359.0</v>
      </c>
      <c r="B45" s="6" t="s">
        <v>59</v>
      </c>
      <c r="C45" s="6" t="s">
        <v>35</v>
      </c>
      <c r="D45" s="7">
        <v>3.0</v>
      </c>
      <c r="E45" s="6" t="s">
        <v>31</v>
      </c>
      <c r="F45" s="7">
        <v>46.0</v>
      </c>
      <c r="G45" s="8">
        <v>71000.0</v>
      </c>
      <c r="H45" s="8">
        <f t="shared" si="1"/>
        <v>3266000</v>
      </c>
      <c r="I45" s="6" t="s">
        <v>61</v>
      </c>
    </row>
    <row r="46" ht="15.0" customHeight="1">
      <c r="A46" s="9">
        <v>45360.0</v>
      </c>
      <c r="B46" s="10" t="s">
        <v>59</v>
      </c>
      <c r="C46" s="10" t="s">
        <v>60</v>
      </c>
      <c r="D46" s="11">
        <v>6.0</v>
      </c>
      <c r="E46" s="10" t="s">
        <v>57</v>
      </c>
      <c r="F46" s="11">
        <v>39.0</v>
      </c>
      <c r="G46" s="12">
        <v>89000.0</v>
      </c>
      <c r="H46" s="12">
        <f t="shared" si="1"/>
        <v>3471000</v>
      </c>
      <c r="I46" s="10" t="s">
        <v>61</v>
      </c>
    </row>
    <row r="47" ht="15.0" customHeight="1">
      <c r="A47" s="5">
        <v>45361.0</v>
      </c>
      <c r="B47" s="6" t="s">
        <v>70</v>
      </c>
      <c r="C47" s="6" t="s">
        <v>72</v>
      </c>
      <c r="D47" s="7">
        <v>4.0</v>
      </c>
      <c r="E47" s="6" t="s">
        <v>12</v>
      </c>
      <c r="F47" s="7">
        <v>12.0</v>
      </c>
      <c r="G47" s="8">
        <v>65000.0</v>
      </c>
      <c r="H47" s="8">
        <f t="shared" si="1"/>
        <v>780000</v>
      </c>
      <c r="I47" s="6" t="s">
        <v>71</v>
      </c>
    </row>
    <row r="48" ht="15.0" customHeight="1">
      <c r="A48" s="9">
        <v>45361.0</v>
      </c>
      <c r="B48" s="10" t="s">
        <v>44</v>
      </c>
      <c r="C48" s="10" t="s">
        <v>79</v>
      </c>
      <c r="D48" s="11">
        <v>6.0</v>
      </c>
      <c r="E48" s="10" t="s">
        <v>57</v>
      </c>
      <c r="F48" s="11">
        <v>99.0</v>
      </c>
      <c r="G48" s="12">
        <v>372000.0</v>
      </c>
      <c r="H48" s="12">
        <f t="shared" si="1"/>
        <v>36828000</v>
      </c>
      <c r="I48" s="10" t="s">
        <v>46</v>
      </c>
    </row>
    <row r="49" ht="15.0" customHeight="1">
      <c r="A49" s="5">
        <v>45365.0</v>
      </c>
      <c r="B49" s="6" t="s">
        <v>53</v>
      </c>
      <c r="C49" s="6" t="s">
        <v>35</v>
      </c>
      <c r="D49" s="7">
        <v>3.0</v>
      </c>
      <c r="E49" s="6" t="s">
        <v>31</v>
      </c>
      <c r="F49" s="7">
        <v>79.0</v>
      </c>
      <c r="G49" s="8">
        <v>73000.0</v>
      </c>
      <c r="H49" s="8">
        <f t="shared" si="1"/>
        <v>5767000</v>
      </c>
      <c r="I49" s="6" t="s">
        <v>54</v>
      </c>
    </row>
    <row r="50" ht="15.0" customHeight="1">
      <c r="A50" s="9">
        <v>45366.0</v>
      </c>
      <c r="B50" s="10" t="s">
        <v>59</v>
      </c>
      <c r="C50" s="10" t="s">
        <v>75</v>
      </c>
      <c r="D50" s="11">
        <v>6.0</v>
      </c>
      <c r="E50" s="10" t="s">
        <v>57</v>
      </c>
      <c r="F50" s="11">
        <v>12.0</v>
      </c>
      <c r="G50" s="12">
        <v>146000.0</v>
      </c>
      <c r="H50" s="12">
        <f t="shared" si="1"/>
        <v>1752000</v>
      </c>
      <c r="I50" s="10" t="s">
        <v>61</v>
      </c>
    </row>
    <row r="51" ht="15.0" customHeight="1">
      <c r="A51" s="5">
        <v>45369.0</v>
      </c>
      <c r="B51" s="6" t="s">
        <v>51</v>
      </c>
      <c r="C51" s="6" t="s">
        <v>80</v>
      </c>
      <c r="D51" s="7">
        <v>2.0</v>
      </c>
      <c r="E51" s="6" t="s">
        <v>27</v>
      </c>
      <c r="F51" s="7">
        <v>3.0</v>
      </c>
      <c r="G51" s="8">
        <v>37000.0</v>
      </c>
      <c r="H51" s="8">
        <f t="shared" si="1"/>
        <v>111000</v>
      </c>
      <c r="I51" s="6" t="s">
        <v>52</v>
      </c>
    </row>
    <row r="52" ht="15.0" customHeight="1">
      <c r="A52" s="9">
        <v>45369.0</v>
      </c>
      <c r="B52" s="10" t="s">
        <v>76</v>
      </c>
      <c r="C52" s="10" t="s">
        <v>81</v>
      </c>
      <c r="D52" s="11">
        <v>7.0</v>
      </c>
      <c r="E52" s="10" t="s">
        <v>16</v>
      </c>
      <c r="F52" s="11">
        <v>33.0</v>
      </c>
      <c r="G52" s="12">
        <v>35000.0</v>
      </c>
      <c r="H52" s="12">
        <f t="shared" si="1"/>
        <v>1155000</v>
      </c>
      <c r="I52" s="10" t="s">
        <v>78</v>
      </c>
    </row>
    <row r="53" ht="15.0" customHeight="1">
      <c r="A53" s="5">
        <v>45371.0</v>
      </c>
      <c r="B53" s="6" t="s">
        <v>10</v>
      </c>
      <c r="C53" s="6" t="s">
        <v>66</v>
      </c>
      <c r="D53" s="7">
        <v>3.0</v>
      </c>
      <c r="E53" s="6" t="s">
        <v>31</v>
      </c>
      <c r="F53" s="7">
        <v>3.0</v>
      </c>
      <c r="G53" s="8">
        <v>104000.0</v>
      </c>
      <c r="H53" s="8">
        <f t="shared" si="1"/>
        <v>312000</v>
      </c>
      <c r="I53" s="6" t="s">
        <v>13</v>
      </c>
    </row>
    <row r="54" ht="15.0" customHeight="1">
      <c r="A54" s="9">
        <v>45373.0</v>
      </c>
      <c r="B54" s="10" t="s">
        <v>51</v>
      </c>
      <c r="C54" s="10" t="s">
        <v>82</v>
      </c>
      <c r="D54" s="11">
        <v>7.0</v>
      </c>
      <c r="E54" s="10" t="s">
        <v>16</v>
      </c>
      <c r="F54" s="11">
        <v>92.0</v>
      </c>
      <c r="G54" s="12">
        <v>21000.0</v>
      </c>
      <c r="H54" s="12">
        <f t="shared" si="1"/>
        <v>1932000</v>
      </c>
      <c r="I54" s="10" t="s">
        <v>52</v>
      </c>
    </row>
    <row r="55" ht="15.0" customHeight="1">
      <c r="A55" s="5">
        <v>45374.0</v>
      </c>
      <c r="B55" s="6" t="s">
        <v>76</v>
      </c>
      <c r="C55" s="6" t="s">
        <v>83</v>
      </c>
      <c r="D55" s="7">
        <v>7.0</v>
      </c>
      <c r="E55" s="6" t="s">
        <v>16</v>
      </c>
      <c r="F55" s="7">
        <v>3.0</v>
      </c>
      <c r="G55" s="8">
        <v>44000.0</v>
      </c>
      <c r="H55" s="8">
        <f t="shared" si="1"/>
        <v>132000</v>
      </c>
      <c r="I55" s="6" t="s">
        <v>78</v>
      </c>
    </row>
    <row r="56" ht="15.0" customHeight="1">
      <c r="A56" s="9">
        <v>45375.0</v>
      </c>
      <c r="B56" s="10" t="s">
        <v>40</v>
      </c>
      <c r="C56" s="10" t="s">
        <v>30</v>
      </c>
      <c r="D56" s="11">
        <v>3.0</v>
      </c>
      <c r="E56" s="10" t="s">
        <v>31</v>
      </c>
      <c r="F56" s="11">
        <v>48.0</v>
      </c>
      <c r="G56" s="12">
        <v>33000.0</v>
      </c>
      <c r="H56" s="12">
        <f t="shared" si="1"/>
        <v>1584000</v>
      </c>
      <c r="I56" s="10" t="s">
        <v>42</v>
      </c>
    </row>
    <row r="57" ht="15.0" customHeight="1">
      <c r="A57" s="5">
        <v>45378.0</v>
      </c>
      <c r="B57" s="6" t="s">
        <v>73</v>
      </c>
      <c r="C57" s="6" t="s">
        <v>19</v>
      </c>
      <c r="D57" s="7">
        <v>5.0</v>
      </c>
      <c r="E57" s="6" t="s">
        <v>20</v>
      </c>
      <c r="F57" s="7">
        <v>17.0</v>
      </c>
      <c r="G57" s="8">
        <v>15000.0</v>
      </c>
      <c r="H57" s="8">
        <f t="shared" si="1"/>
        <v>255000</v>
      </c>
      <c r="I57" s="6" t="s">
        <v>74</v>
      </c>
    </row>
    <row r="58" ht="15.0" customHeight="1">
      <c r="A58" s="9">
        <v>45379.0</v>
      </c>
      <c r="B58" s="10" t="s">
        <v>67</v>
      </c>
      <c r="C58" s="10" t="s">
        <v>68</v>
      </c>
      <c r="D58" s="11">
        <v>6.0</v>
      </c>
      <c r="E58" s="10" t="s">
        <v>57</v>
      </c>
      <c r="F58" s="11">
        <v>16.0</v>
      </c>
      <c r="G58" s="12">
        <v>442000.0</v>
      </c>
      <c r="H58" s="12">
        <f t="shared" si="1"/>
        <v>7072000</v>
      </c>
      <c r="I58" s="10" t="s">
        <v>69</v>
      </c>
    </row>
    <row r="59" ht="15.0" customHeight="1">
      <c r="A59" s="5">
        <v>45381.0</v>
      </c>
      <c r="B59" s="6" t="s">
        <v>53</v>
      </c>
      <c r="C59" s="6" t="s">
        <v>45</v>
      </c>
      <c r="D59" s="7">
        <v>5.0</v>
      </c>
      <c r="E59" s="6" t="s">
        <v>20</v>
      </c>
      <c r="F59" s="7">
        <v>22.0</v>
      </c>
      <c r="G59" s="8">
        <v>32000.0</v>
      </c>
      <c r="H59" s="8">
        <f t="shared" si="1"/>
        <v>704000</v>
      </c>
      <c r="I59" s="6" t="s">
        <v>54</v>
      </c>
    </row>
    <row r="60" ht="15.0" customHeight="1">
      <c r="A60" s="9">
        <v>45381.0</v>
      </c>
      <c r="B60" s="10" t="s">
        <v>76</v>
      </c>
      <c r="C60" s="10" t="s">
        <v>84</v>
      </c>
      <c r="D60" s="11">
        <v>1.0</v>
      </c>
      <c r="E60" s="10" t="s">
        <v>34</v>
      </c>
      <c r="F60" s="11">
        <v>90.0</v>
      </c>
      <c r="G60" s="12">
        <v>306000.0</v>
      </c>
      <c r="H60" s="12">
        <f t="shared" si="1"/>
        <v>27540000</v>
      </c>
      <c r="I60" s="10" t="s">
        <v>78</v>
      </c>
    </row>
    <row r="61" ht="15.0" customHeight="1">
      <c r="A61" s="5">
        <v>45382.0</v>
      </c>
      <c r="B61" s="6" t="s">
        <v>14</v>
      </c>
      <c r="C61" s="6" t="s">
        <v>77</v>
      </c>
      <c r="D61" s="7">
        <v>7.0</v>
      </c>
      <c r="E61" s="6" t="s">
        <v>16</v>
      </c>
      <c r="F61" s="7">
        <v>4.0</v>
      </c>
      <c r="G61" s="8">
        <v>43000.0</v>
      </c>
      <c r="H61" s="8">
        <f t="shared" si="1"/>
        <v>172000</v>
      </c>
      <c r="I61" s="6" t="s">
        <v>17</v>
      </c>
    </row>
    <row r="62" ht="15.0" customHeight="1">
      <c r="A62" s="9">
        <v>45385.0</v>
      </c>
      <c r="B62" s="10" t="s">
        <v>14</v>
      </c>
      <c r="C62" s="10" t="s">
        <v>83</v>
      </c>
      <c r="D62" s="11">
        <v>7.0</v>
      </c>
      <c r="E62" s="10" t="s">
        <v>16</v>
      </c>
      <c r="F62" s="11">
        <v>17.0</v>
      </c>
      <c r="G62" s="12">
        <v>42000.0</v>
      </c>
      <c r="H62" s="12">
        <f t="shared" si="1"/>
        <v>714000</v>
      </c>
      <c r="I62" s="10" t="s">
        <v>17</v>
      </c>
    </row>
    <row r="63" ht="15.0" customHeight="1">
      <c r="A63" s="5">
        <v>45386.0</v>
      </c>
      <c r="B63" s="6" t="s">
        <v>14</v>
      </c>
      <c r="C63" s="6" t="s">
        <v>77</v>
      </c>
      <c r="D63" s="7">
        <v>7.0</v>
      </c>
      <c r="E63" s="6" t="s">
        <v>16</v>
      </c>
      <c r="F63" s="7">
        <v>10.0</v>
      </c>
      <c r="G63" s="8">
        <v>44000.0</v>
      </c>
      <c r="H63" s="8">
        <f t="shared" si="1"/>
        <v>440000</v>
      </c>
      <c r="I63" s="6" t="s">
        <v>17</v>
      </c>
    </row>
    <row r="64" ht="15.0" customHeight="1">
      <c r="A64" s="9">
        <v>45387.0</v>
      </c>
      <c r="B64" s="10" t="s">
        <v>40</v>
      </c>
      <c r="C64" s="10" t="s">
        <v>41</v>
      </c>
      <c r="D64" s="11">
        <v>1.0</v>
      </c>
      <c r="E64" s="10" t="s">
        <v>34</v>
      </c>
      <c r="F64" s="11">
        <v>1.0</v>
      </c>
      <c r="G64" s="12">
        <v>483000.0</v>
      </c>
      <c r="H64" s="12">
        <f t="shared" si="1"/>
        <v>483000</v>
      </c>
      <c r="I64" s="10" t="s">
        <v>42</v>
      </c>
    </row>
    <row r="65" ht="15.0" customHeight="1">
      <c r="A65" s="5">
        <v>45389.0</v>
      </c>
      <c r="B65" s="6" t="s">
        <v>70</v>
      </c>
      <c r="C65" s="6" t="s">
        <v>85</v>
      </c>
      <c r="D65" s="7">
        <v>4.0</v>
      </c>
      <c r="E65" s="6" t="s">
        <v>12</v>
      </c>
      <c r="F65" s="7">
        <v>3.0</v>
      </c>
      <c r="G65" s="8">
        <v>55000.0</v>
      </c>
      <c r="H65" s="8">
        <f t="shared" si="1"/>
        <v>165000</v>
      </c>
      <c r="I65" s="6" t="s">
        <v>71</v>
      </c>
    </row>
    <row r="66" ht="15.0" customHeight="1">
      <c r="A66" s="9">
        <v>45391.0</v>
      </c>
      <c r="B66" s="10" t="s">
        <v>25</v>
      </c>
      <c r="C66" s="10" t="s">
        <v>86</v>
      </c>
      <c r="D66" s="11">
        <v>2.0</v>
      </c>
      <c r="E66" s="10" t="s">
        <v>27</v>
      </c>
      <c r="F66" s="11">
        <v>47.0</v>
      </c>
      <c r="G66" s="12">
        <v>135000.0</v>
      </c>
      <c r="H66" s="12">
        <f t="shared" si="1"/>
        <v>6345000</v>
      </c>
      <c r="I66" s="10" t="s">
        <v>28</v>
      </c>
    </row>
    <row r="67" ht="15.0" customHeight="1">
      <c r="A67" s="5">
        <v>45392.0</v>
      </c>
      <c r="B67" s="6" t="s">
        <v>53</v>
      </c>
      <c r="C67" s="6" t="s">
        <v>87</v>
      </c>
      <c r="D67" s="7">
        <v>5.0</v>
      </c>
      <c r="E67" s="6" t="s">
        <v>20</v>
      </c>
      <c r="F67" s="7">
        <v>26.0</v>
      </c>
      <c r="G67" s="8">
        <v>26000.0</v>
      </c>
      <c r="H67" s="8">
        <f t="shared" si="1"/>
        <v>676000</v>
      </c>
      <c r="I67" s="6" t="s">
        <v>54</v>
      </c>
    </row>
    <row r="68" ht="15.0" customHeight="1">
      <c r="A68" s="9">
        <v>45392.0</v>
      </c>
      <c r="B68" s="10" t="s">
        <v>25</v>
      </c>
      <c r="C68" s="10" t="s">
        <v>86</v>
      </c>
      <c r="D68" s="11">
        <v>2.0</v>
      </c>
      <c r="E68" s="10" t="s">
        <v>27</v>
      </c>
      <c r="F68" s="11">
        <v>20.0</v>
      </c>
      <c r="G68" s="12">
        <v>138000.0</v>
      </c>
      <c r="H68" s="12">
        <f t="shared" si="1"/>
        <v>2760000</v>
      </c>
      <c r="I68" s="10" t="s">
        <v>28</v>
      </c>
    </row>
    <row r="69" ht="15.0" customHeight="1">
      <c r="A69" s="5">
        <v>45393.0</v>
      </c>
      <c r="B69" s="6" t="s">
        <v>14</v>
      </c>
      <c r="C69" s="6" t="s">
        <v>15</v>
      </c>
      <c r="D69" s="7">
        <v>7.0</v>
      </c>
      <c r="E69" s="6" t="s">
        <v>16</v>
      </c>
      <c r="F69" s="7">
        <v>16.0</v>
      </c>
      <c r="G69" s="8">
        <v>84000.0</v>
      </c>
      <c r="H69" s="8">
        <f t="shared" si="1"/>
        <v>1344000</v>
      </c>
      <c r="I69" s="6" t="s">
        <v>17</v>
      </c>
    </row>
    <row r="70" ht="15.0" customHeight="1">
      <c r="A70" s="9">
        <v>45394.0</v>
      </c>
      <c r="B70" s="10" t="s">
        <v>51</v>
      </c>
      <c r="C70" s="10" t="s">
        <v>80</v>
      </c>
      <c r="D70" s="11">
        <v>2.0</v>
      </c>
      <c r="E70" s="10" t="s">
        <v>27</v>
      </c>
      <c r="F70" s="11">
        <v>45.0</v>
      </c>
      <c r="G70" s="12">
        <v>40000.0</v>
      </c>
      <c r="H70" s="12">
        <f t="shared" si="1"/>
        <v>1800000</v>
      </c>
      <c r="I70" s="10" t="s">
        <v>52</v>
      </c>
    </row>
    <row r="71" ht="15.0" customHeight="1">
      <c r="A71" s="5">
        <v>45395.0</v>
      </c>
      <c r="B71" s="6" t="s">
        <v>64</v>
      </c>
      <c r="C71" s="6" t="s">
        <v>11</v>
      </c>
      <c r="D71" s="7">
        <v>4.0</v>
      </c>
      <c r="E71" s="6" t="s">
        <v>12</v>
      </c>
      <c r="F71" s="7">
        <v>15.0</v>
      </c>
      <c r="G71" s="8">
        <v>76000.0</v>
      </c>
      <c r="H71" s="8">
        <f t="shared" si="1"/>
        <v>1140000</v>
      </c>
      <c r="I71" s="6" t="s">
        <v>65</v>
      </c>
    </row>
    <row r="72" ht="15.0" customHeight="1">
      <c r="A72" s="9">
        <v>45396.0</v>
      </c>
      <c r="B72" s="10" t="s">
        <v>53</v>
      </c>
      <c r="C72" s="10" t="s">
        <v>87</v>
      </c>
      <c r="D72" s="11">
        <v>5.0</v>
      </c>
      <c r="E72" s="10" t="s">
        <v>20</v>
      </c>
      <c r="F72" s="11">
        <v>20.0</v>
      </c>
      <c r="G72" s="12">
        <v>30000.0</v>
      </c>
      <c r="H72" s="12">
        <f t="shared" si="1"/>
        <v>600000</v>
      </c>
      <c r="I72" s="10" t="s">
        <v>54</v>
      </c>
    </row>
    <row r="73" ht="15.0" customHeight="1">
      <c r="A73" s="5">
        <v>45397.0</v>
      </c>
      <c r="B73" s="6" t="s">
        <v>36</v>
      </c>
      <c r="C73" s="6" t="s">
        <v>37</v>
      </c>
      <c r="D73" s="7">
        <v>3.0</v>
      </c>
      <c r="E73" s="6" t="s">
        <v>31</v>
      </c>
      <c r="F73" s="7">
        <v>28.0</v>
      </c>
      <c r="G73" s="8">
        <v>415000.0</v>
      </c>
      <c r="H73" s="8">
        <f t="shared" si="1"/>
        <v>11620000</v>
      </c>
      <c r="I73" s="6" t="s">
        <v>38</v>
      </c>
    </row>
    <row r="74" ht="15.0" customHeight="1">
      <c r="A74" s="9">
        <v>45398.0</v>
      </c>
      <c r="B74" s="10" t="s">
        <v>53</v>
      </c>
      <c r="C74" s="10" t="s">
        <v>45</v>
      </c>
      <c r="D74" s="11">
        <v>5.0</v>
      </c>
      <c r="E74" s="10" t="s">
        <v>20</v>
      </c>
      <c r="F74" s="11">
        <v>30.0</v>
      </c>
      <c r="G74" s="12">
        <v>31000.0</v>
      </c>
      <c r="H74" s="12">
        <f t="shared" si="1"/>
        <v>930000</v>
      </c>
      <c r="I74" s="10" t="s">
        <v>54</v>
      </c>
    </row>
    <row r="75" ht="15.0" customHeight="1">
      <c r="A75" s="5">
        <v>45401.0</v>
      </c>
      <c r="B75" s="6" t="s">
        <v>14</v>
      </c>
      <c r="C75" s="6" t="s">
        <v>81</v>
      </c>
      <c r="D75" s="7">
        <v>7.0</v>
      </c>
      <c r="E75" s="6" t="s">
        <v>16</v>
      </c>
      <c r="F75" s="7">
        <v>11.0</v>
      </c>
      <c r="G75" s="8">
        <v>33000.0</v>
      </c>
      <c r="H75" s="8">
        <f t="shared" si="1"/>
        <v>363000</v>
      </c>
      <c r="I75" s="6" t="s">
        <v>17</v>
      </c>
    </row>
    <row r="76" ht="15.0" customHeight="1">
      <c r="A76" s="9">
        <v>45401.0</v>
      </c>
      <c r="B76" s="10" t="s">
        <v>22</v>
      </c>
      <c r="C76" s="10" t="s">
        <v>82</v>
      </c>
      <c r="D76" s="11">
        <v>7.0</v>
      </c>
      <c r="E76" s="10" t="s">
        <v>16</v>
      </c>
      <c r="F76" s="11">
        <v>16.0</v>
      </c>
      <c r="G76" s="12">
        <v>29000.0</v>
      </c>
      <c r="H76" s="12">
        <f t="shared" si="1"/>
        <v>464000</v>
      </c>
      <c r="I76" s="10" t="s">
        <v>24</v>
      </c>
    </row>
    <row r="77" ht="15.0" customHeight="1">
      <c r="A77" s="5">
        <v>45403.0</v>
      </c>
      <c r="B77" s="6" t="s">
        <v>36</v>
      </c>
      <c r="C77" s="6" t="s">
        <v>85</v>
      </c>
      <c r="D77" s="7">
        <v>4.0</v>
      </c>
      <c r="E77" s="6" t="s">
        <v>12</v>
      </c>
      <c r="F77" s="7">
        <v>6.0</v>
      </c>
      <c r="G77" s="8">
        <v>78000.0</v>
      </c>
      <c r="H77" s="8">
        <f t="shared" si="1"/>
        <v>468000</v>
      </c>
      <c r="I77" s="6" t="s">
        <v>38</v>
      </c>
    </row>
    <row r="78" ht="15.0" customHeight="1">
      <c r="A78" s="9">
        <v>45405.0</v>
      </c>
      <c r="B78" s="10" t="s">
        <v>67</v>
      </c>
      <c r="C78" s="10" t="s">
        <v>43</v>
      </c>
      <c r="D78" s="11">
        <v>1.0</v>
      </c>
      <c r="E78" s="10" t="s">
        <v>34</v>
      </c>
      <c r="F78" s="11">
        <v>27.0</v>
      </c>
      <c r="G78" s="12">
        <v>535000.0</v>
      </c>
      <c r="H78" s="12">
        <f t="shared" si="1"/>
        <v>14445000</v>
      </c>
      <c r="I78" s="10" t="s">
        <v>69</v>
      </c>
    </row>
    <row r="79" ht="15.0" customHeight="1">
      <c r="A79" s="5">
        <v>45408.0</v>
      </c>
      <c r="B79" s="6" t="s">
        <v>29</v>
      </c>
      <c r="C79" s="6" t="s">
        <v>45</v>
      </c>
      <c r="D79" s="7">
        <v>5.0</v>
      </c>
      <c r="E79" s="6" t="s">
        <v>20</v>
      </c>
      <c r="F79" s="7">
        <v>45.0</v>
      </c>
      <c r="G79" s="8">
        <v>20000.0</v>
      </c>
      <c r="H79" s="8">
        <f t="shared" si="1"/>
        <v>900000</v>
      </c>
      <c r="I79" s="6" t="s">
        <v>32</v>
      </c>
    </row>
    <row r="80" ht="15.0" customHeight="1">
      <c r="A80" s="9">
        <v>45411.0</v>
      </c>
      <c r="B80" s="10" t="s">
        <v>51</v>
      </c>
      <c r="C80" s="10" t="s">
        <v>80</v>
      </c>
      <c r="D80" s="11">
        <v>2.0</v>
      </c>
      <c r="E80" s="10" t="s">
        <v>27</v>
      </c>
      <c r="F80" s="11">
        <v>49.0</v>
      </c>
      <c r="G80" s="12">
        <v>54000.0</v>
      </c>
      <c r="H80" s="12">
        <f t="shared" si="1"/>
        <v>2646000</v>
      </c>
      <c r="I80" s="10" t="s">
        <v>52</v>
      </c>
    </row>
    <row r="81" ht="15.0" customHeight="1">
      <c r="A81" s="5">
        <v>45411.0</v>
      </c>
      <c r="B81" s="6" t="s">
        <v>10</v>
      </c>
      <c r="C81" s="6" t="s">
        <v>66</v>
      </c>
      <c r="D81" s="7">
        <v>3.0</v>
      </c>
      <c r="E81" s="6" t="s">
        <v>31</v>
      </c>
      <c r="F81" s="7">
        <v>39.0</v>
      </c>
      <c r="G81" s="8">
        <v>107000.0</v>
      </c>
      <c r="H81" s="8">
        <f t="shared" si="1"/>
        <v>4173000</v>
      </c>
      <c r="I81" s="6" t="s">
        <v>13</v>
      </c>
    </row>
    <row r="82" ht="15.0" customHeight="1">
      <c r="A82" s="9">
        <v>45412.0</v>
      </c>
      <c r="B82" s="10" t="s">
        <v>14</v>
      </c>
      <c r="C82" s="10" t="s">
        <v>83</v>
      </c>
      <c r="D82" s="11">
        <v>7.0</v>
      </c>
      <c r="E82" s="10" t="s">
        <v>16</v>
      </c>
      <c r="F82" s="11">
        <v>9.0</v>
      </c>
      <c r="G82" s="12">
        <v>54000.0</v>
      </c>
      <c r="H82" s="12">
        <f t="shared" si="1"/>
        <v>486000</v>
      </c>
      <c r="I82" s="10" t="s">
        <v>17</v>
      </c>
    </row>
    <row r="83" ht="15.0" customHeight="1">
      <c r="A83" s="5">
        <v>45412.0</v>
      </c>
      <c r="B83" s="6" t="s">
        <v>70</v>
      </c>
      <c r="C83" s="6" t="s">
        <v>11</v>
      </c>
      <c r="D83" s="7">
        <v>4.0</v>
      </c>
      <c r="E83" s="6" t="s">
        <v>12</v>
      </c>
      <c r="F83" s="7">
        <v>14.0</v>
      </c>
      <c r="G83" s="8">
        <v>86000.0</v>
      </c>
      <c r="H83" s="8">
        <f t="shared" si="1"/>
        <v>1204000</v>
      </c>
      <c r="I83" s="6" t="s">
        <v>71</v>
      </c>
    </row>
    <row r="84" ht="15.0" customHeight="1">
      <c r="A84" s="9">
        <v>45413.0</v>
      </c>
      <c r="B84" s="10" t="s">
        <v>70</v>
      </c>
      <c r="C84" s="10" t="s">
        <v>88</v>
      </c>
      <c r="D84" s="11">
        <v>4.0</v>
      </c>
      <c r="E84" s="10" t="s">
        <v>12</v>
      </c>
      <c r="F84" s="11">
        <v>15.0</v>
      </c>
      <c r="G84" s="12">
        <v>57000.0</v>
      </c>
      <c r="H84" s="12">
        <f t="shared" si="1"/>
        <v>855000</v>
      </c>
      <c r="I84" s="10" t="s">
        <v>71</v>
      </c>
    </row>
    <row r="85" ht="15.0" customHeight="1">
      <c r="A85" s="5">
        <v>45413.0</v>
      </c>
      <c r="B85" s="6" t="s">
        <v>36</v>
      </c>
      <c r="C85" s="6" t="s">
        <v>35</v>
      </c>
      <c r="D85" s="7">
        <v>3.0</v>
      </c>
      <c r="E85" s="6" t="s">
        <v>31</v>
      </c>
      <c r="F85" s="7">
        <v>7.0</v>
      </c>
      <c r="G85" s="8">
        <v>68000.0</v>
      </c>
      <c r="H85" s="8">
        <f t="shared" si="1"/>
        <v>476000</v>
      </c>
      <c r="I85" s="6" t="s">
        <v>38</v>
      </c>
    </row>
    <row r="86" ht="15.0" customHeight="1">
      <c r="A86" s="9">
        <v>45414.0</v>
      </c>
      <c r="B86" s="10" t="s">
        <v>44</v>
      </c>
      <c r="C86" s="10" t="s">
        <v>89</v>
      </c>
      <c r="D86" s="11">
        <v>5.0</v>
      </c>
      <c r="E86" s="10" t="s">
        <v>20</v>
      </c>
      <c r="F86" s="11">
        <v>39.0</v>
      </c>
      <c r="G86" s="12">
        <v>14000.0</v>
      </c>
      <c r="H86" s="12">
        <f t="shared" si="1"/>
        <v>546000</v>
      </c>
      <c r="I86" s="10" t="s">
        <v>46</v>
      </c>
    </row>
    <row r="87" ht="15.0" customHeight="1">
      <c r="A87" s="5">
        <v>45417.0</v>
      </c>
      <c r="B87" s="6" t="s">
        <v>62</v>
      </c>
      <c r="C87" s="6" t="s">
        <v>37</v>
      </c>
      <c r="D87" s="7">
        <v>3.0</v>
      </c>
      <c r="E87" s="6" t="s">
        <v>31</v>
      </c>
      <c r="F87" s="7">
        <v>15.0</v>
      </c>
      <c r="G87" s="8">
        <v>416000.0</v>
      </c>
      <c r="H87" s="8">
        <f t="shared" si="1"/>
        <v>6240000</v>
      </c>
      <c r="I87" s="6" t="s">
        <v>63</v>
      </c>
    </row>
    <row r="88" ht="15.0" customHeight="1">
      <c r="A88" s="9">
        <v>45420.0</v>
      </c>
      <c r="B88" s="10" t="s">
        <v>64</v>
      </c>
      <c r="C88" s="10" t="s">
        <v>88</v>
      </c>
      <c r="D88" s="11">
        <v>4.0</v>
      </c>
      <c r="E88" s="10" t="s">
        <v>12</v>
      </c>
      <c r="F88" s="11">
        <v>17.0</v>
      </c>
      <c r="G88" s="12">
        <v>43000.0</v>
      </c>
      <c r="H88" s="12">
        <f t="shared" si="1"/>
        <v>731000</v>
      </c>
      <c r="I88" s="10" t="s">
        <v>65</v>
      </c>
    </row>
    <row r="89" ht="15.0" customHeight="1">
      <c r="A89" s="5">
        <v>45423.0</v>
      </c>
      <c r="B89" s="6" t="s">
        <v>73</v>
      </c>
      <c r="C89" s="6" t="s">
        <v>80</v>
      </c>
      <c r="D89" s="7">
        <v>2.0</v>
      </c>
      <c r="E89" s="6" t="s">
        <v>27</v>
      </c>
      <c r="F89" s="7">
        <v>11.0</v>
      </c>
      <c r="G89" s="8">
        <v>50000.0</v>
      </c>
      <c r="H89" s="8">
        <f t="shared" si="1"/>
        <v>550000</v>
      </c>
      <c r="I89" s="6" t="s">
        <v>74</v>
      </c>
    </row>
    <row r="90" ht="15.0" customHeight="1">
      <c r="A90" s="9">
        <v>45424.0</v>
      </c>
      <c r="B90" s="10" t="s">
        <v>22</v>
      </c>
      <c r="C90" s="10" t="s">
        <v>72</v>
      </c>
      <c r="D90" s="11">
        <v>4.0</v>
      </c>
      <c r="E90" s="10" t="s">
        <v>12</v>
      </c>
      <c r="F90" s="11">
        <v>27.0</v>
      </c>
      <c r="G90" s="12">
        <v>67000.0</v>
      </c>
      <c r="H90" s="12">
        <f t="shared" si="1"/>
        <v>1809000</v>
      </c>
      <c r="I90" s="10" t="s">
        <v>24</v>
      </c>
    </row>
    <row r="91" ht="15.0" customHeight="1">
      <c r="A91" s="5">
        <v>45424.0</v>
      </c>
      <c r="B91" s="6" t="s">
        <v>62</v>
      </c>
      <c r="C91" s="6" t="s">
        <v>37</v>
      </c>
      <c r="D91" s="7">
        <v>3.0</v>
      </c>
      <c r="E91" s="6" t="s">
        <v>31</v>
      </c>
      <c r="F91" s="7">
        <v>28.0</v>
      </c>
      <c r="G91" s="8">
        <v>415000.0</v>
      </c>
      <c r="H91" s="8">
        <f t="shared" si="1"/>
        <v>11620000</v>
      </c>
      <c r="I91" s="6" t="s">
        <v>63</v>
      </c>
    </row>
    <row r="92" ht="15.0" customHeight="1">
      <c r="A92" s="9">
        <v>45425.0</v>
      </c>
      <c r="B92" s="10" t="s">
        <v>25</v>
      </c>
      <c r="C92" s="10" t="s">
        <v>48</v>
      </c>
      <c r="D92" s="11">
        <v>2.0</v>
      </c>
      <c r="E92" s="10" t="s">
        <v>27</v>
      </c>
      <c r="F92" s="11">
        <v>36.0</v>
      </c>
      <c r="G92" s="12">
        <v>96000.0</v>
      </c>
      <c r="H92" s="12">
        <f t="shared" si="1"/>
        <v>3456000</v>
      </c>
      <c r="I92" s="10" t="s">
        <v>28</v>
      </c>
    </row>
    <row r="93" ht="15.0" customHeight="1">
      <c r="A93" s="5">
        <v>45426.0</v>
      </c>
      <c r="B93" s="6" t="s">
        <v>40</v>
      </c>
      <c r="C93" s="6" t="s">
        <v>43</v>
      </c>
      <c r="D93" s="7">
        <v>1.0</v>
      </c>
      <c r="E93" s="6" t="s">
        <v>34</v>
      </c>
      <c r="F93" s="7">
        <v>4.0</v>
      </c>
      <c r="G93" s="8">
        <v>530000.0</v>
      </c>
      <c r="H93" s="8">
        <f t="shared" si="1"/>
        <v>2120000</v>
      </c>
      <c r="I93" s="6" t="s">
        <v>42</v>
      </c>
    </row>
    <row r="94" ht="15.0" customHeight="1">
      <c r="A94" s="9">
        <v>45426.0</v>
      </c>
      <c r="B94" s="10" t="s">
        <v>40</v>
      </c>
      <c r="C94" s="10" t="s">
        <v>56</v>
      </c>
      <c r="D94" s="11">
        <v>6.0</v>
      </c>
      <c r="E94" s="10" t="s">
        <v>57</v>
      </c>
      <c r="F94" s="11">
        <v>39.0</v>
      </c>
      <c r="G94" s="12">
        <v>50000.0</v>
      </c>
      <c r="H94" s="12">
        <f t="shared" si="1"/>
        <v>1950000</v>
      </c>
      <c r="I94" s="10" t="s">
        <v>42</v>
      </c>
    </row>
    <row r="95" ht="15.0" customHeight="1">
      <c r="A95" s="5">
        <v>45428.0</v>
      </c>
      <c r="B95" s="6" t="s">
        <v>55</v>
      </c>
      <c r="C95" s="6" t="s">
        <v>75</v>
      </c>
      <c r="D95" s="7">
        <v>6.0</v>
      </c>
      <c r="E95" s="6" t="s">
        <v>57</v>
      </c>
      <c r="F95" s="7">
        <v>48.0</v>
      </c>
      <c r="G95" s="8">
        <v>154000.0</v>
      </c>
      <c r="H95" s="8">
        <f t="shared" si="1"/>
        <v>7392000</v>
      </c>
      <c r="I95" s="6" t="s">
        <v>58</v>
      </c>
    </row>
    <row r="96" ht="15.0" customHeight="1">
      <c r="A96" s="9">
        <v>45429.0</v>
      </c>
      <c r="B96" s="10" t="s">
        <v>62</v>
      </c>
      <c r="C96" s="10" t="s">
        <v>50</v>
      </c>
      <c r="D96" s="11">
        <v>3.0</v>
      </c>
      <c r="E96" s="10" t="s">
        <v>31</v>
      </c>
      <c r="F96" s="11">
        <v>18.0</v>
      </c>
      <c r="G96" s="12">
        <v>70000.0</v>
      </c>
      <c r="H96" s="12">
        <f t="shared" si="1"/>
        <v>1260000</v>
      </c>
      <c r="I96" s="10" t="s">
        <v>63</v>
      </c>
    </row>
    <row r="97" ht="15.0" customHeight="1">
      <c r="A97" s="5">
        <v>45434.0</v>
      </c>
      <c r="B97" s="6" t="s">
        <v>51</v>
      </c>
      <c r="C97" s="6" t="s">
        <v>48</v>
      </c>
      <c r="D97" s="7">
        <v>2.0</v>
      </c>
      <c r="E97" s="6" t="s">
        <v>27</v>
      </c>
      <c r="F97" s="7">
        <v>36.0</v>
      </c>
      <c r="G97" s="8">
        <v>92000.0</v>
      </c>
      <c r="H97" s="8">
        <f t="shared" si="1"/>
        <v>3312000</v>
      </c>
      <c r="I97" s="6" t="s">
        <v>52</v>
      </c>
    </row>
    <row r="98" ht="15.0" customHeight="1">
      <c r="A98" s="9">
        <v>45434.0</v>
      </c>
      <c r="B98" s="10" t="s">
        <v>55</v>
      </c>
      <c r="C98" s="10" t="s">
        <v>56</v>
      </c>
      <c r="D98" s="11">
        <v>6.0</v>
      </c>
      <c r="E98" s="10" t="s">
        <v>57</v>
      </c>
      <c r="F98" s="11">
        <v>9.0</v>
      </c>
      <c r="G98" s="12">
        <v>34000.0</v>
      </c>
      <c r="H98" s="12">
        <f t="shared" si="1"/>
        <v>306000</v>
      </c>
      <c r="I98" s="10" t="s">
        <v>58</v>
      </c>
    </row>
    <row r="99" ht="15.0" customHeight="1">
      <c r="A99" s="5">
        <v>45438.0</v>
      </c>
      <c r="B99" s="6" t="s">
        <v>76</v>
      </c>
      <c r="C99" s="6" t="s">
        <v>81</v>
      </c>
      <c r="D99" s="7">
        <v>7.0</v>
      </c>
      <c r="E99" s="6" t="s">
        <v>16</v>
      </c>
      <c r="F99" s="7">
        <v>45.0</v>
      </c>
      <c r="G99" s="8">
        <v>43000.0</v>
      </c>
      <c r="H99" s="8">
        <f t="shared" si="1"/>
        <v>1935000</v>
      </c>
      <c r="I99" s="6" t="s">
        <v>78</v>
      </c>
    </row>
    <row r="100" ht="15.0" customHeight="1">
      <c r="A100" s="9">
        <v>45439.0</v>
      </c>
      <c r="B100" s="10" t="s">
        <v>47</v>
      </c>
      <c r="C100" s="10" t="s">
        <v>80</v>
      </c>
      <c r="D100" s="11">
        <v>2.0</v>
      </c>
      <c r="E100" s="10" t="s">
        <v>27</v>
      </c>
      <c r="F100" s="11">
        <v>19.0</v>
      </c>
      <c r="G100" s="12">
        <v>44000.0</v>
      </c>
      <c r="H100" s="12">
        <f t="shared" si="1"/>
        <v>836000</v>
      </c>
      <c r="I100" s="10" t="s">
        <v>49</v>
      </c>
    </row>
    <row r="101" ht="15.0" customHeight="1">
      <c r="A101" s="5">
        <v>45439.0</v>
      </c>
      <c r="B101" s="6" t="s">
        <v>36</v>
      </c>
      <c r="C101" s="6" t="s">
        <v>30</v>
      </c>
      <c r="D101" s="7">
        <v>3.0</v>
      </c>
      <c r="E101" s="6" t="s">
        <v>31</v>
      </c>
      <c r="F101" s="7">
        <v>5.0</v>
      </c>
      <c r="G101" s="8">
        <v>31000.0</v>
      </c>
      <c r="H101" s="8">
        <f t="shared" si="1"/>
        <v>155000</v>
      </c>
      <c r="I101" s="6" t="s">
        <v>38</v>
      </c>
    </row>
    <row r="102" ht="15.0" customHeight="1">
      <c r="A102" s="9">
        <v>45439.0</v>
      </c>
      <c r="B102" s="10" t="s">
        <v>36</v>
      </c>
      <c r="C102" s="10" t="s">
        <v>66</v>
      </c>
      <c r="D102" s="11">
        <v>3.0</v>
      </c>
      <c r="E102" s="10" t="s">
        <v>31</v>
      </c>
      <c r="F102" s="11">
        <v>50.0</v>
      </c>
      <c r="G102" s="12">
        <v>94000.0</v>
      </c>
      <c r="H102" s="12">
        <f t="shared" si="1"/>
        <v>4700000</v>
      </c>
      <c r="I102" s="10" t="s">
        <v>38</v>
      </c>
    </row>
    <row r="103" ht="15.0" customHeight="1">
      <c r="A103" s="5">
        <v>45440.0</v>
      </c>
      <c r="B103" s="6" t="s">
        <v>53</v>
      </c>
      <c r="C103" s="6" t="s">
        <v>39</v>
      </c>
      <c r="D103" s="7">
        <v>5.0</v>
      </c>
      <c r="E103" s="6" t="s">
        <v>20</v>
      </c>
      <c r="F103" s="7">
        <v>7.0</v>
      </c>
      <c r="G103" s="8">
        <v>8000.0</v>
      </c>
      <c r="H103" s="8">
        <f t="shared" si="1"/>
        <v>56000</v>
      </c>
      <c r="I103" s="6" t="s">
        <v>54</v>
      </c>
    </row>
    <row r="104" ht="15.0" customHeight="1">
      <c r="A104" s="9">
        <v>45442.0</v>
      </c>
      <c r="B104" s="10" t="s">
        <v>51</v>
      </c>
      <c r="C104" s="10" t="s">
        <v>90</v>
      </c>
      <c r="D104" s="11">
        <v>2.0</v>
      </c>
      <c r="E104" s="10" t="s">
        <v>27</v>
      </c>
      <c r="F104" s="11">
        <v>4.0</v>
      </c>
      <c r="G104" s="12">
        <v>88000.0</v>
      </c>
      <c r="H104" s="12">
        <f t="shared" si="1"/>
        <v>352000</v>
      </c>
      <c r="I104" s="10" t="s">
        <v>52</v>
      </c>
    </row>
    <row r="105" ht="15.0" customHeight="1">
      <c r="A105" s="5">
        <v>45444.0</v>
      </c>
      <c r="B105" s="6" t="s">
        <v>29</v>
      </c>
      <c r="C105" s="6" t="s">
        <v>19</v>
      </c>
      <c r="D105" s="7">
        <v>5.0</v>
      </c>
      <c r="E105" s="6" t="s">
        <v>20</v>
      </c>
      <c r="F105" s="7">
        <v>29.0</v>
      </c>
      <c r="G105" s="8">
        <v>6000.0</v>
      </c>
      <c r="H105" s="8">
        <f t="shared" si="1"/>
        <v>174000</v>
      </c>
      <c r="I105" s="6" t="s">
        <v>32</v>
      </c>
    </row>
    <row r="106" ht="15.0" customHeight="1">
      <c r="A106" s="9">
        <v>45445.0</v>
      </c>
      <c r="B106" s="10" t="s">
        <v>25</v>
      </c>
      <c r="C106" s="10" t="s">
        <v>26</v>
      </c>
      <c r="D106" s="11">
        <v>2.0</v>
      </c>
      <c r="E106" s="10" t="s">
        <v>27</v>
      </c>
      <c r="F106" s="11">
        <v>33.0</v>
      </c>
      <c r="G106" s="12">
        <v>51000.0</v>
      </c>
      <c r="H106" s="12">
        <f t="shared" si="1"/>
        <v>1683000</v>
      </c>
      <c r="I106" s="10" t="s">
        <v>28</v>
      </c>
    </row>
    <row r="107" ht="15.0" customHeight="1">
      <c r="A107" s="5">
        <v>45446.0</v>
      </c>
      <c r="B107" s="6" t="s">
        <v>53</v>
      </c>
      <c r="C107" s="6" t="s">
        <v>39</v>
      </c>
      <c r="D107" s="7">
        <v>5.0</v>
      </c>
      <c r="E107" s="6" t="s">
        <v>20</v>
      </c>
      <c r="F107" s="7">
        <v>42.0</v>
      </c>
      <c r="G107" s="8">
        <v>15000.0</v>
      </c>
      <c r="H107" s="8">
        <f t="shared" si="1"/>
        <v>630000</v>
      </c>
      <c r="I107" s="6" t="s">
        <v>54</v>
      </c>
    </row>
    <row r="108" ht="15.0" customHeight="1">
      <c r="A108" s="9">
        <v>45447.0</v>
      </c>
      <c r="B108" s="10" t="s">
        <v>64</v>
      </c>
      <c r="C108" s="10" t="s">
        <v>15</v>
      </c>
      <c r="D108" s="11">
        <v>7.0</v>
      </c>
      <c r="E108" s="10" t="s">
        <v>16</v>
      </c>
      <c r="F108" s="11">
        <v>81.0</v>
      </c>
      <c r="G108" s="12">
        <v>82000.0</v>
      </c>
      <c r="H108" s="12">
        <f t="shared" si="1"/>
        <v>6642000</v>
      </c>
      <c r="I108" s="10" t="s">
        <v>65</v>
      </c>
    </row>
    <row r="109" ht="15.0" customHeight="1">
      <c r="A109" s="5">
        <v>45450.0</v>
      </c>
      <c r="B109" s="6" t="s">
        <v>53</v>
      </c>
      <c r="C109" s="6" t="s">
        <v>87</v>
      </c>
      <c r="D109" s="7">
        <v>5.0</v>
      </c>
      <c r="E109" s="6" t="s">
        <v>20</v>
      </c>
      <c r="F109" s="7">
        <v>3.0</v>
      </c>
      <c r="G109" s="8">
        <v>32000.0</v>
      </c>
      <c r="H109" s="8">
        <f t="shared" si="1"/>
        <v>96000</v>
      </c>
      <c r="I109" s="6" t="s">
        <v>54</v>
      </c>
    </row>
    <row r="110" ht="15.0" customHeight="1">
      <c r="A110" s="9">
        <v>45450.0</v>
      </c>
      <c r="B110" s="10" t="s">
        <v>62</v>
      </c>
      <c r="C110" s="10" t="s">
        <v>35</v>
      </c>
      <c r="D110" s="11">
        <v>3.0</v>
      </c>
      <c r="E110" s="10" t="s">
        <v>31</v>
      </c>
      <c r="F110" s="11">
        <v>14.0</v>
      </c>
      <c r="G110" s="12">
        <v>58000.0</v>
      </c>
      <c r="H110" s="12">
        <f t="shared" si="1"/>
        <v>812000</v>
      </c>
      <c r="I110" s="10" t="s">
        <v>63</v>
      </c>
    </row>
    <row r="111" ht="15.0" customHeight="1">
      <c r="A111" s="5">
        <v>45453.0</v>
      </c>
      <c r="B111" s="6" t="s">
        <v>29</v>
      </c>
      <c r="C111" s="6" t="s">
        <v>39</v>
      </c>
      <c r="D111" s="7">
        <v>5.0</v>
      </c>
      <c r="E111" s="6" t="s">
        <v>20</v>
      </c>
      <c r="F111" s="7">
        <v>25.0</v>
      </c>
      <c r="G111" s="8">
        <v>15000.0</v>
      </c>
      <c r="H111" s="8">
        <f t="shared" si="1"/>
        <v>375000</v>
      </c>
      <c r="I111" s="6" t="s">
        <v>32</v>
      </c>
    </row>
    <row r="112" ht="15.0" customHeight="1">
      <c r="A112" s="9">
        <v>45453.0</v>
      </c>
      <c r="B112" s="10" t="s">
        <v>73</v>
      </c>
      <c r="C112" s="10" t="s">
        <v>89</v>
      </c>
      <c r="D112" s="11">
        <v>5.0</v>
      </c>
      <c r="E112" s="10" t="s">
        <v>20</v>
      </c>
      <c r="F112" s="11">
        <v>38.0</v>
      </c>
      <c r="G112" s="12">
        <v>11000.0</v>
      </c>
      <c r="H112" s="12">
        <f t="shared" si="1"/>
        <v>418000</v>
      </c>
      <c r="I112" s="10" t="s">
        <v>74</v>
      </c>
    </row>
    <row r="113" ht="15.0" customHeight="1">
      <c r="A113" s="5">
        <v>45454.0</v>
      </c>
      <c r="B113" s="6" t="s">
        <v>64</v>
      </c>
      <c r="C113" s="6" t="s">
        <v>72</v>
      </c>
      <c r="D113" s="7">
        <v>4.0</v>
      </c>
      <c r="E113" s="6" t="s">
        <v>12</v>
      </c>
      <c r="F113" s="7">
        <v>18.0</v>
      </c>
      <c r="G113" s="8">
        <v>58000.0</v>
      </c>
      <c r="H113" s="8">
        <f t="shared" si="1"/>
        <v>1044000</v>
      </c>
      <c r="I113" s="6" t="s">
        <v>65</v>
      </c>
    </row>
    <row r="114" ht="15.0" customHeight="1">
      <c r="A114" s="9">
        <v>45456.0</v>
      </c>
      <c r="B114" s="10" t="s">
        <v>59</v>
      </c>
      <c r="C114" s="10" t="s">
        <v>56</v>
      </c>
      <c r="D114" s="11">
        <v>6.0</v>
      </c>
      <c r="E114" s="10" t="s">
        <v>57</v>
      </c>
      <c r="F114" s="11">
        <v>17.0</v>
      </c>
      <c r="G114" s="12">
        <v>38000.0</v>
      </c>
      <c r="H114" s="12">
        <f t="shared" si="1"/>
        <v>646000</v>
      </c>
      <c r="I114" s="10" t="s">
        <v>61</v>
      </c>
    </row>
    <row r="115" ht="15.0" customHeight="1">
      <c r="A115" s="5">
        <v>45456.0</v>
      </c>
      <c r="B115" s="6" t="s">
        <v>67</v>
      </c>
      <c r="C115" s="6" t="s">
        <v>56</v>
      </c>
      <c r="D115" s="7">
        <v>6.0</v>
      </c>
      <c r="E115" s="6" t="s">
        <v>57</v>
      </c>
      <c r="F115" s="7">
        <v>11.0</v>
      </c>
      <c r="G115" s="8">
        <v>39000.0</v>
      </c>
      <c r="H115" s="8">
        <f t="shared" si="1"/>
        <v>429000</v>
      </c>
      <c r="I115" s="6" t="s">
        <v>69</v>
      </c>
    </row>
    <row r="116" ht="15.0" customHeight="1">
      <c r="A116" s="9">
        <v>45457.0</v>
      </c>
      <c r="B116" s="10" t="s">
        <v>22</v>
      </c>
      <c r="C116" s="10" t="s">
        <v>72</v>
      </c>
      <c r="D116" s="11">
        <v>4.0</v>
      </c>
      <c r="E116" s="10" t="s">
        <v>12</v>
      </c>
      <c r="F116" s="11">
        <v>9.0</v>
      </c>
      <c r="G116" s="12">
        <v>74000.0</v>
      </c>
      <c r="H116" s="12">
        <f t="shared" si="1"/>
        <v>666000</v>
      </c>
      <c r="I116" s="10" t="s">
        <v>24</v>
      </c>
    </row>
    <row r="117" ht="15.0" customHeight="1">
      <c r="A117" s="5">
        <v>45458.0</v>
      </c>
      <c r="B117" s="6" t="s">
        <v>70</v>
      </c>
      <c r="C117" s="6" t="s">
        <v>11</v>
      </c>
      <c r="D117" s="7">
        <v>4.0</v>
      </c>
      <c r="E117" s="6" t="s">
        <v>12</v>
      </c>
      <c r="F117" s="7">
        <v>32.0</v>
      </c>
      <c r="G117" s="8">
        <v>81000.0</v>
      </c>
      <c r="H117" s="8">
        <f t="shared" si="1"/>
        <v>2592000</v>
      </c>
      <c r="I117" s="6" t="s">
        <v>71</v>
      </c>
    </row>
    <row r="118" ht="15.0" customHeight="1">
      <c r="A118" s="9">
        <v>45460.0</v>
      </c>
      <c r="B118" s="10" t="s">
        <v>47</v>
      </c>
      <c r="C118" s="10" t="s">
        <v>86</v>
      </c>
      <c r="D118" s="11">
        <v>2.0</v>
      </c>
      <c r="E118" s="10" t="s">
        <v>27</v>
      </c>
      <c r="F118" s="11">
        <v>18.0</v>
      </c>
      <c r="G118" s="12">
        <v>142000.0</v>
      </c>
      <c r="H118" s="12">
        <f t="shared" si="1"/>
        <v>2556000</v>
      </c>
      <c r="I118" s="10" t="s">
        <v>49</v>
      </c>
    </row>
    <row r="119" ht="15.0" customHeight="1">
      <c r="A119" s="5">
        <v>45461.0</v>
      </c>
      <c r="B119" s="6" t="s">
        <v>67</v>
      </c>
      <c r="C119" s="6" t="s">
        <v>56</v>
      </c>
      <c r="D119" s="7">
        <v>6.0</v>
      </c>
      <c r="E119" s="6" t="s">
        <v>57</v>
      </c>
      <c r="F119" s="7">
        <v>22.0</v>
      </c>
      <c r="G119" s="8">
        <v>32000.0</v>
      </c>
      <c r="H119" s="8">
        <f t="shared" si="1"/>
        <v>704000</v>
      </c>
      <c r="I119" s="6" t="s">
        <v>69</v>
      </c>
    </row>
    <row r="120" ht="15.0" customHeight="1">
      <c r="A120" s="9">
        <v>45461.0</v>
      </c>
      <c r="B120" s="10" t="s">
        <v>22</v>
      </c>
      <c r="C120" s="10" t="s">
        <v>68</v>
      </c>
      <c r="D120" s="11">
        <v>6.0</v>
      </c>
      <c r="E120" s="10" t="s">
        <v>57</v>
      </c>
      <c r="F120" s="11">
        <v>48.0</v>
      </c>
      <c r="G120" s="12">
        <v>444000.0</v>
      </c>
      <c r="H120" s="12">
        <f t="shared" si="1"/>
        <v>21312000</v>
      </c>
      <c r="I120" s="10" t="s">
        <v>24</v>
      </c>
    </row>
    <row r="121" ht="15.0" customHeight="1">
      <c r="A121" s="5">
        <v>45465.0</v>
      </c>
      <c r="B121" s="6" t="s">
        <v>29</v>
      </c>
      <c r="C121" s="6" t="s">
        <v>39</v>
      </c>
      <c r="D121" s="7">
        <v>5.0</v>
      </c>
      <c r="E121" s="6" t="s">
        <v>20</v>
      </c>
      <c r="F121" s="7">
        <v>26.0</v>
      </c>
      <c r="G121" s="8">
        <v>19000.0</v>
      </c>
      <c r="H121" s="8">
        <f t="shared" si="1"/>
        <v>494000</v>
      </c>
      <c r="I121" s="6" t="s">
        <v>32</v>
      </c>
    </row>
    <row r="122" ht="15.0" customHeight="1">
      <c r="A122" s="9">
        <v>45465.0</v>
      </c>
      <c r="B122" s="10" t="s">
        <v>29</v>
      </c>
      <c r="C122" s="10" t="s">
        <v>19</v>
      </c>
      <c r="D122" s="11">
        <v>5.0</v>
      </c>
      <c r="E122" s="10" t="s">
        <v>20</v>
      </c>
      <c r="F122" s="11">
        <v>27.0</v>
      </c>
      <c r="G122" s="12">
        <v>16000.0</v>
      </c>
      <c r="H122" s="12">
        <f t="shared" si="1"/>
        <v>432000</v>
      </c>
      <c r="I122" s="10" t="s">
        <v>32</v>
      </c>
    </row>
    <row r="123" ht="15.0" customHeight="1">
      <c r="A123" s="5">
        <v>45465.0</v>
      </c>
      <c r="B123" s="6" t="s">
        <v>25</v>
      </c>
      <c r="C123" s="6" t="s">
        <v>26</v>
      </c>
      <c r="D123" s="7">
        <v>2.0</v>
      </c>
      <c r="E123" s="6" t="s">
        <v>27</v>
      </c>
      <c r="F123" s="7">
        <v>6.0</v>
      </c>
      <c r="G123" s="8">
        <v>59000.0</v>
      </c>
      <c r="H123" s="8">
        <f t="shared" si="1"/>
        <v>354000</v>
      </c>
      <c r="I123" s="6" t="s">
        <v>28</v>
      </c>
    </row>
    <row r="124" ht="15.0" customHeight="1">
      <c r="A124" s="9">
        <v>45467.0</v>
      </c>
      <c r="B124" s="10" t="s">
        <v>73</v>
      </c>
      <c r="C124" s="10" t="s">
        <v>87</v>
      </c>
      <c r="D124" s="11">
        <v>5.0</v>
      </c>
      <c r="E124" s="10" t="s">
        <v>20</v>
      </c>
      <c r="F124" s="11">
        <v>41.0</v>
      </c>
      <c r="G124" s="12">
        <v>24000.0</v>
      </c>
      <c r="H124" s="12">
        <f t="shared" si="1"/>
        <v>984000</v>
      </c>
      <c r="I124" s="10" t="s">
        <v>74</v>
      </c>
    </row>
    <row r="125" ht="15.0" customHeight="1">
      <c r="A125" s="5">
        <v>45468.0</v>
      </c>
      <c r="B125" s="6" t="s">
        <v>51</v>
      </c>
      <c r="C125" s="6" t="s">
        <v>80</v>
      </c>
      <c r="D125" s="7">
        <v>2.0</v>
      </c>
      <c r="E125" s="6" t="s">
        <v>27</v>
      </c>
      <c r="F125" s="7">
        <v>36.0</v>
      </c>
      <c r="G125" s="8">
        <v>42000.0</v>
      </c>
      <c r="H125" s="8">
        <f t="shared" si="1"/>
        <v>1512000</v>
      </c>
      <c r="I125" s="6" t="s">
        <v>52</v>
      </c>
    </row>
    <row r="126" ht="15.0" customHeight="1">
      <c r="A126" s="9">
        <v>45469.0</v>
      </c>
      <c r="B126" s="10" t="s">
        <v>62</v>
      </c>
      <c r="C126" s="10" t="s">
        <v>37</v>
      </c>
      <c r="D126" s="11">
        <v>3.0</v>
      </c>
      <c r="E126" s="10" t="s">
        <v>31</v>
      </c>
      <c r="F126" s="11">
        <v>34.0</v>
      </c>
      <c r="G126" s="12">
        <v>424000.0</v>
      </c>
      <c r="H126" s="12">
        <f t="shared" si="1"/>
        <v>14416000</v>
      </c>
      <c r="I126" s="10" t="s">
        <v>63</v>
      </c>
    </row>
    <row r="127" ht="15.0" customHeight="1">
      <c r="A127" s="5">
        <v>45470.0</v>
      </c>
      <c r="B127" s="6" t="s">
        <v>10</v>
      </c>
      <c r="C127" s="6" t="s">
        <v>35</v>
      </c>
      <c r="D127" s="7">
        <v>3.0</v>
      </c>
      <c r="E127" s="6" t="s">
        <v>31</v>
      </c>
      <c r="F127" s="7">
        <v>47.0</v>
      </c>
      <c r="G127" s="8">
        <v>56000.0</v>
      </c>
      <c r="H127" s="8">
        <f t="shared" si="1"/>
        <v>2632000</v>
      </c>
      <c r="I127" s="6" t="s">
        <v>13</v>
      </c>
    </row>
    <row r="128" ht="15.0" customHeight="1">
      <c r="A128" s="9">
        <v>45474.0</v>
      </c>
      <c r="B128" s="10" t="s">
        <v>51</v>
      </c>
      <c r="C128" s="10" t="s">
        <v>80</v>
      </c>
      <c r="D128" s="11">
        <v>2.0</v>
      </c>
      <c r="E128" s="10" t="s">
        <v>27</v>
      </c>
      <c r="F128" s="11">
        <v>48.0</v>
      </c>
      <c r="G128" s="12">
        <v>37000.0</v>
      </c>
      <c r="H128" s="12">
        <f t="shared" si="1"/>
        <v>1776000</v>
      </c>
      <c r="I128" s="10" t="s">
        <v>52</v>
      </c>
    </row>
    <row r="129" ht="15.0" customHeight="1">
      <c r="A129" s="5">
        <v>45474.0</v>
      </c>
      <c r="B129" s="6" t="s">
        <v>76</v>
      </c>
      <c r="C129" s="6" t="s">
        <v>77</v>
      </c>
      <c r="D129" s="7">
        <v>7.0</v>
      </c>
      <c r="E129" s="6" t="s">
        <v>16</v>
      </c>
      <c r="F129" s="7">
        <v>5.0</v>
      </c>
      <c r="G129" s="8">
        <v>47000.0</v>
      </c>
      <c r="H129" s="8">
        <f t="shared" si="1"/>
        <v>235000</v>
      </c>
      <c r="I129" s="6" t="s">
        <v>78</v>
      </c>
    </row>
    <row r="130" ht="15.0" customHeight="1">
      <c r="A130" s="9">
        <v>45476.0</v>
      </c>
      <c r="B130" s="10" t="s">
        <v>40</v>
      </c>
      <c r="C130" s="10" t="s">
        <v>41</v>
      </c>
      <c r="D130" s="11">
        <v>1.0</v>
      </c>
      <c r="E130" s="10" t="s">
        <v>34</v>
      </c>
      <c r="F130" s="11">
        <v>16.0</v>
      </c>
      <c r="G130" s="12">
        <v>487000.0</v>
      </c>
      <c r="H130" s="12">
        <f t="shared" si="1"/>
        <v>7792000</v>
      </c>
      <c r="I130" s="10" t="s">
        <v>42</v>
      </c>
    </row>
    <row r="131" ht="15.0" customHeight="1">
      <c r="A131" s="5">
        <v>45477.0</v>
      </c>
      <c r="B131" s="6" t="s">
        <v>67</v>
      </c>
      <c r="C131" s="6" t="s">
        <v>75</v>
      </c>
      <c r="D131" s="7">
        <v>6.0</v>
      </c>
      <c r="E131" s="6" t="s">
        <v>57</v>
      </c>
      <c r="F131" s="7">
        <v>18.0</v>
      </c>
      <c r="G131" s="8">
        <v>147000.0</v>
      </c>
      <c r="H131" s="8">
        <f t="shared" si="1"/>
        <v>2646000</v>
      </c>
      <c r="I131" s="6" t="s">
        <v>69</v>
      </c>
    </row>
    <row r="132" ht="15.0" customHeight="1">
      <c r="A132" s="9">
        <v>45478.0</v>
      </c>
      <c r="B132" s="10" t="s">
        <v>64</v>
      </c>
      <c r="C132" s="10" t="s">
        <v>11</v>
      </c>
      <c r="D132" s="11">
        <v>4.0</v>
      </c>
      <c r="E132" s="10" t="s">
        <v>12</v>
      </c>
      <c r="F132" s="11">
        <v>30.0</v>
      </c>
      <c r="G132" s="12">
        <v>73000.0</v>
      </c>
      <c r="H132" s="12">
        <f t="shared" si="1"/>
        <v>2190000</v>
      </c>
      <c r="I132" s="10" t="s">
        <v>65</v>
      </c>
    </row>
    <row r="133" ht="15.0" customHeight="1">
      <c r="A133" s="5">
        <v>45479.0</v>
      </c>
      <c r="B133" s="6" t="s">
        <v>40</v>
      </c>
      <c r="C133" s="6" t="s">
        <v>33</v>
      </c>
      <c r="D133" s="7">
        <v>1.0</v>
      </c>
      <c r="E133" s="6" t="s">
        <v>34</v>
      </c>
      <c r="F133" s="7">
        <v>23.0</v>
      </c>
      <c r="G133" s="8">
        <v>650000.0</v>
      </c>
      <c r="H133" s="8">
        <f t="shared" si="1"/>
        <v>14950000</v>
      </c>
      <c r="I133" s="6" t="s">
        <v>42</v>
      </c>
    </row>
    <row r="134" ht="15.0" customHeight="1">
      <c r="A134" s="9">
        <v>45481.0</v>
      </c>
      <c r="B134" s="10" t="s">
        <v>44</v>
      </c>
      <c r="C134" s="10" t="s">
        <v>19</v>
      </c>
      <c r="D134" s="11">
        <v>5.0</v>
      </c>
      <c r="E134" s="10" t="s">
        <v>20</v>
      </c>
      <c r="F134" s="11">
        <v>38.0</v>
      </c>
      <c r="G134" s="12">
        <v>13000.0</v>
      </c>
      <c r="H134" s="12">
        <f t="shared" si="1"/>
        <v>494000</v>
      </c>
      <c r="I134" s="10" t="s">
        <v>46</v>
      </c>
    </row>
    <row r="135" ht="15.0" customHeight="1">
      <c r="A135" s="5">
        <v>45482.0</v>
      </c>
      <c r="B135" s="6" t="s">
        <v>29</v>
      </c>
      <c r="C135" s="6" t="s">
        <v>89</v>
      </c>
      <c r="D135" s="7">
        <v>5.0</v>
      </c>
      <c r="E135" s="6" t="s">
        <v>20</v>
      </c>
      <c r="F135" s="7">
        <v>12.0</v>
      </c>
      <c r="G135" s="8">
        <v>13000.0</v>
      </c>
      <c r="H135" s="8">
        <f t="shared" si="1"/>
        <v>156000</v>
      </c>
      <c r="I135" s="6" t="s">
        <v>32</v>
      </c>
    </row>
    <row r="136" ht="15.0" customHeight="1">
      <c r="A136" s="9">
        <v>45482.0</v>
      </c>
      <c r="B136" s="10" t="s">
        <v>62</v>
      </c>
      <c r="C136" s="10" t="s">
        <v>30</v>
      </c>
      <c r="D136" s="11">
        <v>3.0</v>
      </c>
      <c r="E136" s="10" t="s">
        <v>31</v>
      </c>
      <c r="F136" s="11">
        <v>36.0</v>
      </c>
      <c r="G136" s="12">
        <v>38000.0</v>
      </c>
      <c r="H136" s="12">
        <f t="shared" si="1"/>
        <v>1368000</v>
      </c>
      <c r="I136" s="10" t="s">
        <v>63</v>
      </c>
    </row>
    <row r="137" ht="15.0" customHeight="1">
      <c r="A137" s="5">
        <v>45483.0</v>
      </c>
      <c r="B137" s="6" t="s">
        <v>44</v>
      </c>
      <c r="C137" s="6" t="s">
        <v>89</v>
      </c>
      <c r="D137" s="7">
        <v>5.0</v>
      </c>
      <c r="E137" s="6" t="s">
        <v>20</v>
      </c>
      <c r="F137" s="7">
        <v>17.0</v>
      </c>
      <c r="G137" s="8">
        <v>22000.0</v>
      </c>
      <c r="H137" s="8">
        <f t="shared" si="1"/>
        <v>374000</v>
      </c>
      <c r="I137" s="6" t="s">
        <v>46</v>
      </c>
    </row>
    <row r="138" ht="15.0" customHeight="1">
      <c r="A138" s="9">
        <v>45485.0</v>
      </c>
      <c r="B138" s="10" t="s">
        <v>62</v>
      </c>
      <c r="C138" s="10" t="s">
        <v>35</v>
      </c>
      <c r="D138" s="11">
        <v>3.0</v>
      </c>
      <c r="E138" s="10" t="s">
        <v>31</v>
      </c>
      <c r="F138" s="11">
        <v>21.0</v>
      </c>
      <c r="G138" s="12">
        <v>59000.0</v>
      </c>
      <c r="H138" s="12">
        <f t="shared" si="1"/>
        <v>1239000</v>
      </c>
      <c r="I138" s="10" t="s">
        <v>63</v>
      </c>
    </row>
    <row r="139" ht="15.0" customHeight="1">
      <c r="A139" s="5">
        <v>45487.0</v>
      </c>
      <c r="B139" s="6" t="s">
        <v>22</v>
      </c>
      <c r="C139" s="6" t="s">
        <v>11</v>
      </c>
      <c r="D139" s="7">
        <v>4.0</v>
      </c>
      <c r="E139" s="6" t="s">
        <v>12</v>
      </c>
      <c r="F139" s="7">
        <v>13.0</v>
      </c>
      <c r="G139" s="8">
        <v>84000.0</v>
      </c>
      <c r="H139" s="8">
        <f t="shared" si="1"/>
        <v>1092000</v>
      </c>
      <c r="I139" s="6" t="s">
        <v>24</v>
      </c>
    </row>
    <row r="140" ht="15.0" customHeight="1">
      <c r="A140" s="9">
        <v>45487.0</v>
      </c>
      <c r="B140" s="10" t="s">
        <v>22</v>
      </c>
      <c r="C140" s="10" t="s">
        <v>23</v>
      </c>
      <c r="D140" s="11">
        <v>4.0</v>
      </c>
      <c r="E140" s="10" t="s">
        <v>12</v>
      </c>
      <c r="F140" s="11">
        <v>23.0</v>
      </c>
      <c r="G140" s="12">
        <v>99000.0</v>
      </c>
      <c r="H140" s="12">
        <f t="shared" si="1"/>
        <v>2277000</v>
      </c>
      <c r="I140" s="10" t="s">
        <v>24</v>
      </c>
    </row>
    <row r="141" ht="15.0" customHeight="1">
      <c r="A141" s="5">
        <v>45487.0</v>
      </c>
      <c r="B141" s="6" t="s">
        <v>18</v>
      </c>
      <c r="C141" s="6" t="s">
        <v>91</v>
      </c>
      <c r="D141" s="7">
        <v>1.0</v>
      </c>
      <c r="E141" s="6" t="s">
        <v>34</v>
      </c>
      <c r="F141" s="7">
        <v>94.0</v>
      </c>
      <c r="G141" s="8">
        <v>91000.0</v>
      </c>
      <c r="H141" s="8">
        <f t="shared" si="1"/>
        <v>8554000</v>
      </c>
      <c r="I141" s="6" t="s">
        <v>21</v>
      </c>
    </row>
    <row r="142" ht="15.0" customHeight="1">
      <c r="A142" s="9">
        <v>45489.0</v>
      </c>
      <c r="B142" s="10" t="s">
        <v>64</v>
      </c>
      <c r="C142" s="10" t="s">
        <v>11</v>
      </c>
      <c r="D142" s="11">
        <v>4.0</v>
      </c>
      <c r="E142" s="10" t="s">
        <v>12</v>
      </c>
      <c r="F142" s="11">
        <v>6.0</v>
      </c>
      <c r="G142" s="12">
        <v>88000.0</v>
      </c>
      <c r="H142" s="12">
        <f t="shared" si="1"/>
        <v>528000</v>
      </c>
      <c r="I142" s="10" t="s">
        <v>65</v>
      </c>
    </row>
    <row r="143" ht="15.0" customHeight="1">
      <c r="A143" s="5">
        <v>45489.0</v>
      </c>
      <c r="B143" s="6" t="s">
        <v>62</v>
      </c>
      <c r="C143" s="6" t="s">
        <v>37</v>
      </c>
      <c r="D143" s="7">
        <v>3.0</v>
      </c>
      <c r="E143" s="6" t="s">
        <v>31</v>
      </c>
      <c r="F143" s="7">
        <v>19.0</v>
      </c>
      <c r="G143" s="8">
        <v>416000.0</v>
      </c>
      <c r="H143" s="8">
        <f t="shared" si="1"/>
        <v>7904000</v>
      </c>
      <c r="I143" s="6" t="s">
        <v>63</v>
      </c>
    </row>
    <row r="144" ht="15.0" customHeight="1">
      <c r="A144" s="9">
        <v>45489.0</v>
      </c>
      <c r="B144" s="10" t="s">
        <v>55</v>
      </c>
      <c r="C144" s="10" t="s">
        <v>68</v>
      </c>
      <c r="D144" s="11">
        <v>6.0</v>
      </c>
      <c r="E144" s="10" t="s">
        <v>57</v>
      </c>
      <c r="F144" s="11">
        <v>2.0</v>
      </c>
      <c r="G144" s="12">
        <v>436000.0</v>
      </c>
      <c r="H144" s="12">
        <f t="shared" si="1"/>
        <v>872000</v>
      </c>
      <c r="I144" s="10" t="s">
        <v>58</v>
      </c>
    </row>
    <row r="145" ht="15.0" customHeight="1">
      <c r="A145" s="5">
        <v>45490.0</v>
      </c>
      <c r="B145" s="6" t="s">
        <v>76</v>
      </c>
      <c r="C145" s="6" t="s">
        <v>15</v>
      </c>
      <c r="D145" s="7">
        <v>7.0</v>
      </c>
      <c r="E145" s="6" t="s">
        <v>16</v>
      </c>
      <c r="F145" s="7">
        <v>18.0</v>
      </c>
      <c r="G145" s="8">
        <v>83000.0</v>
      </c>
      <c r="H145" s="8">
        <f t="shared" si="1"/>
        <v>1494000</v>
      </c>
      <c r="I145" s="6" t="s">
        <v>78</v>
      </c>
    </row>
    <row r="146" ht="15.0" customHeight="1">
      <c r="A146" s="9">
        <v>45491.0</v>
      </c>
      <c r="B146" s="10" t="s">
        <v>64</v>
      </c>
      <c r="C146" s="10" t="s">
        <v>88</v>
      </c>
      <c r="D146" s="11">
        <v>4.0</v>
      </c>
      <c r="E146" s="10" t="s">
        <v>12</v>
      </c>
      <c r="F146" s="11">
        <v>30.0</v>
      </c>
      <c r="G146" s="12">
        <v>45000.0</v>
      </c>
      <c r="H146" s="12">
        <f t="shared" si="1"/>
        <v>1350000</v>
      </c>
      <c r="I146" s="10" t="s">
        <v>65</v>
      </c>
    </row>
    <row r="147" ht="15.0" customHeight="1">
      <c r="A147" s="5">
        <v>45492.0</v>
      </c>
      <c r="B147" s="6" t="s">
        <v>40</v>
      </c>
      <c r="C147" s="6" t="s">
        <v>43</v>
      </c>
      <c r="D147" s="7">
        <v>1.0</v>
      </c>
      <c r="E147" s="6" t="s">
        <v>34</v>
      </c>
      <c r="F147" s="7">
        <v>34.0</v>
      </c>
      <c r="G147" s="8">
        <v>525000.0</v>
      </c>
      <c r="H147" s="8">
        <f t="shared" si="1"/>
        <v>17850000</v>
      </c>
      <c r="I147" s="6" t="s">
        <v>42</v>
      </c>
    </row>
    <row r="148" ht="15.0" customHeight="1">
      <c r="A148" s="9">
        <v>45493.0</v>
      </c>
      <c r="B148" s="10" t="s">
        <v>76</v>
      </c>
      <c r="C148" s="10" t="s">
        <v>81</v>
      </c>
      <c r="D148" s="11">
        <v>7.0</v>
      </c>
      <c r="E148" s="10" t="s">
        <v>16</v>
      </c>
      <c r="F148" s="11">
        <v>39.0</v>
      </c>
      <c r="G148" s="12">
        <v>34000.0</v>
      </c>
      <c r="H148" s="12">
        <f t="shared" si="1"/>
        <v>1326000</v>
      </c>
      <c r="I148" s="10" t="s">
        <v>78</v>
      </c>
    </row>
    <row r="149" ht="15.0" customHeight="1">
      <c r="A149" s="5">
        <v>45496.0</v>
      </c>
      <c r="B149" s="6" t="s">
        <v>73</v>
      </c>
      <c r="C149" s="6" t="s">
        <v>87</v>
      </c>
      <c r="D149" s="7">
        <v>5.0</v>
      </c>
      <c r="E149" s="6" t="s">
        <v>20</v>
      </c>
      <c r="F149" s="7">
        <v>11.0</v>
      </c>
      <c r="G149" s="8">
        <v>23000.0</v>
      </c>
      <c r="H149" s="8">
        <f t="shared" si="1"/>
        <v>253000</v>
      </c>
      <c r="I149" s="6" t="s">
        <v>74</v>
      </c>
    </row>
    <row r="150" ht="15.0" customHeight="1">
      <c r="A150" s="9">
        <v>45497.0</v>
      </c>
      <c r="B150" s="10" t="s">
        <v>47</v>
      </c>
      <c r="C150" s="10" t="s">
        <v>26</v>
      </c>
      <c r="D150" s="11">
        <v>2.0</v>
      </c>
      <c r="E150" s="10" t="s">
        <v>27</v>
      </c>
      <c r="F150" s="11">
        <v>46.0</v>
      </c>
      <c r="G150" s="12">
        <v>57000.0</v>
      </c>
      <c r="H150" s="12">
        <f t="shared" si="1"/>
        <v>2622000</v>
      </c>
      <c r="I150" s="10" t="s">
        <v>49</v>
      </c>
    </row>
    <row r="151" ht="15.0" customHeight="1">
      <c r="A151" s="5">
        <v>45502.0</v>
      </c>
      <c r="B151" s="6" t="s">
        <v>59</v>
      </c>
      <c r="C151" s="6" t="s">
        <v>68</v>
      </c>
      <c r="D151" s="7">
        <v>6.0</v>
      </c>
      <c r="E151" s="6" t="s">
        <v>57</v>
      </c>
      <c r="F151" s="7">
        <v>8.0</v>
      </c>
      <c r="G151" s="8">
        <v>428000.0</v>
      </c>
      <c r="H151" s="8">
        <f t="shared" si="1"/>
        <v>3424000</v>
      </c>
      <c r="I151" s="6" t="s">
        <v>61</v>
      </c>
    </row>
    <row r="152" ht="15.0" customHeight="1">
      <c r="A152" s="9">
        <v>45502.0</v>
      </c>
      <c r="B152" s="10" t="s">
        <v>59</v>
      </c>
      <c r="C152" s="10" t="s">
        <v>79</v>
      </c>
      <c r="D152" s="11">
        <v>6.0</v>
      </c>
      <c r="E152" s="10" t="s">
        <v>57</v>
      </c>
      <c r="F152" s="11">
        <v>36.0</v>
      </c>
      <c r="G152" s="12">
        <v>372000.0</v>
      </c>
      <c r="H152" s="12">
        <f t="shared" si="1"/>
        <v>13392000</v>
      </c>
      <c r="I152" s="10" t="s">
        <v>61</v>
      </c>
    </row>
    <row r="153" ht="15.0" customHeight="1">
      <c r="A153" s="5">
        <v>45503.0</v>
      </c>
      <c r="B153" s="6" t="s">
        <v>55</v>
      </c>
      <c r="C153" s="6" t="s">
        <v>60</v>
      </c>
      <c r="D153" s="7">
        <v>6.0</v>
      </c>
      <c r="E153" s="6" t="s">
        <v>57</v>
      </c>
      <c r="F153" s="7">
        <v>9.0</v>
      </c>
      <c r="G153" s="8">
        <v>102000.0</v>
      </c>
      <c r="H153" s="8">
        <f t="shared" si="1"/>
        <v>918000</v>
      </c>
      <c r="I153" s="6" t="s">
        <v>58</v>
      </c>
    </row>
    <row r="154" ht="15.0" customHeight="1">
      <c r="A154" s="9">
        <v>45505.0</v>
      </c>
      <c r="B154" s="10" t="s">
        <v>36</v>
      </c>
      <c r="C154" s="10" t="s">
        <v>37</v>
      </c>
      <c r="D154" s="11">
        <v>3.0</v>
      </c>
      <c r="E154" s="10" t="s">
        <v>31</v>
      </c>
      <c r="F154" s="11">
        <v>12.0</v>
      </c>
      <c r="G154" s="12">
        <v>425000.0</v>
      </c>
      <c r="H154" s="12">
        <f t="shared" si="1"/>
        <v>5100000</v>
      </c>
      <c r="I154" s="10" t="s">
        <v>38</v>
      </c>
    </row>
    <row r="155" ht="15.0" customHeight="1">
      <c r="A155" s="5">
        <v>45506.0</v>
      </c>
      <c r="B155" s="6" t="s">
        <v>22</v>
      </c>
      <c r="C155" s="6" t="s">
        <v>88</v>
      </c>
      <c r="D155" s="7">
        <v>4.0</v>
      </c>
      <c r="E155" s="6" t="s">
        <v>12</v>
      </c>
      <c r="F155" s="7">
        <v>23.0</v>
      </c>
      <c r="G155" s="8">
        <v>53000.0</v>
      </c>
      <c r="H155" s="8">
        <f t="shared" si="1"/>
        <v>1219000</v>
      </c>
      <c r="I155" s="6" t="s">
        <v>24</v>
      </c>
    </row>
    <row r="156" ht="15.0" customHeight="1">
      <c r="A156" s="9">
        <v>45507.0</v>
      </c>
      <c r="B156" s="10" t="s">
        <v>18</v>
      </c>
      <c r="C156" s="10" t="s">
        <v>87</v>
      </c>
      <c r="D156" s="11">
        <v>5.0</v>
      </c>
      <c r="E156" s="10" t="s">
        <v>20</v>
      </c>
      <c r="F156" s="11">
        <v>41.0</v>
      </c>
      <c r="G156" s="12">
        <v>27000.0</v>
      </c>
      <c r="H156" s="12">
        <f t="shared" si="1"/>
        <v>1107000</v>
      </c>
      <c r="I156" s="10" t="s">
        <v>21</v>
      </c>
    </row>
    <row r="157" ht="15.0" customHeight="1">
      <c r="A157" s="5">
        <v>45509.0</v>
      </c>
      <c r="B157" s="6" t="s">
        <v>36</v>
      </c>
      <c r="C157" s="6" t="s">
        <v>35</v>
      </c>
      <c r="D157" s="7">
        <v>3.0</v>
      </c>
      <c r="E157" s="6" t="s">
        <v>31</v>
      </c>
      <c r="F157" s="7">
        <v>2.0</v>
      </c>
      <c r="G157" s="8">
        <v>69000.0</v>
      </c>
      <c r="H157" s="8">
        <f t="shared" si="1"/>
        <v>138000</v>
      </c>
      <c r="I157" s="6" t="s">
        <v>38</v>
      </c>
    </row>
    <row r="158" ht="15.0" customHeight="1">
      <c r="A158" s="9">
        <v>45510.0</v>
      </c>
      <c r="B158" s="10" t="s">
        <v>10</v>
      </c>
      <c r="C158" s="10" t="s">
        <v>30</v>
      </c>
      <c r="D158" s="11">
        <v>3.0</v>
      </c>
      <c r="E158" s="10" t="s">
        <v>31</v>
      </c>
      <c r="F158" s="11">
        <v>39.0</v>
      </c>
      <c r="G158" s="12">
        <v>29000.0</v>
      </c>
      <c r="H158" s="12">
        <f t="shared" si="1"/>
        <v>1131000</v>
      </c>
      <c r="I158" s="10" t="s">
        <v>13</v>
      </c>
    </row>
    <row r="159" ht="15.0" customHeight="1">
      <c r="A159" s="5">
        <v>45512.0</v>
      </c>
      <c r="B159" s="6" t="s">
        <v>44</v>
      </c>
      <c r="C159" s="6" t="s">
        <v>89</v>
      </c>
      <c r="D159" s="7">
        <v>5.0</v>
      </c>
      <c r="E159" s="6" t="s">
        <v>20</v>
      </c>
      <c r="F159" s="7">
        <v>25.0</v>
      </c>
      <c r="G159" s="8">
        <v>28000.0</v>
      </c>
      <c r="H159" s="8">
        <f t="shared" si="1"/>
        <v>700000</v>
      </c>
      <c r="I159" s="6" t="s">
        <v>46</v>
      </c>
    </row>
    <row r="160" ht="15.0" customHeight="1">
      <c r="A160" s="9">
        <v>45515.0</v>
      </c>
      <c r="B160" s="10" t="s">
        <v>25</v>
      </c>
      <c r="C160" s="10" t="s">
        <v>90</v>
      </c>
      <c r="D160" s="11">
        <v>2.0</v>
      </c>
      <c r="E160" s="10" t="s">
        <v>27</v>
      </c>
      <c r="F160" s="11">
        <v>1.0</v>
      </c>
      <c r="G160" s="12">
        <v>93000.0</v>
      </c>
      <c r="H160" s="12">
        <f t="shared" si="1"/>
        <v>93000</v>
      </c>
      <c r="I160" s="10" t="s">
        <v>28</v>
      </c>
    </row>
    <row r="161" ht="15.0" customHeight="1">
      <c r="A161" s="5">
        <v>45516.0</v>
      </c>
      <c r="B161" s="6" t="s">
        <v>73</v>
      </c>
      <c r="C161" s="6" t="s">
        <v>39</v>
      </c>
      <c r="D161" s="7">
        <v>5.0</v>
      </c>
      <c r="E161" s="6" t="s">
        <v>20</v>
      </c>
      <c r="F161" s="7">
        <v>12.0</v>
      </c>
      <c r="G161" s="8">
        <v>17000.0</v>
      </c>
      <c r="H161" s="8">
        <f t="shared" si="1"/>
        <v>204000</v>
      </c>
      <c r="I161" s="6" t="s">
        <v>74</v>
      </c>
    </row>
    <row r="162" ht="15.0" customHeight="1">
      <c r="A162" s="9">
        <v>45516.0</v>
      </c>
      <c r="B162" s="10" t="s">
        <v>70</v>
      </c>
      <c r="C162" s="10" t="s">
        <v>85</v>
      </c>
      <c r="D162" s="11">
        <v>4.0</v>
      </c>
      <c r="E162" s="10" t="s">
        <v>12</v>
      </c>
      <c r="F162" s="11">
        <v>13.0</v>
      </c>
      <c r="G162" s="12">
        <v>64000.0</v>
      </c>
      <c r="H162" s="12">
        <f t="shared" si="1"/>
        <v>832000</v>
      </c>
      <c r="I162" s="10" t="s">
        <v>71</v>
      </c>
    </row>
    <row r="163" ht="15.0" customHeight="1">
      <c r="A163" s="5">
        <v>45519.0</v>
      </c>
      <c r="B163" s="6" t="s">
        <v>18</v>
      </c>
      <c r="C163" s="6" t="s">
        <v>89</v>
      </c>
      <c r="D163" s="7">
        <v>5.0</v>
      </c>
      <c r="E163" s="6" t="s">
        <v>20</v>
      </c>
      <c r="F163" s="7">
        <v>33.0</v>
      </c>
      <c r="G163" s="8">
        <v>16000.0</v>
      </c>
      <c r="H163" s="8">
        <f t="shared" si="1"/>
        <v>528000</v>
      </c>
      <c r="I163" s="6" t="s">
        <v>21</v>
      </c>
    </row>
    <row r="164" ht="15.0" customHeight="1">
      <c r="A164" s="9">
        <v>45519.0</v>
      </c>
      <c r="B164" s="10" t="s">
        <v>59</v>
      </c>
      <c r="C164" s="10" t="s">
        <v>75</v>
      </c>
      <c r="D164" s="11">
        <v>6.0</v>
      </c>
      <c r="E164" s="10" t="s">
        <v>57</v>
      </c>
      <c r="F164" s="11">
        <v>26.0</v>
      </c>
      <c r="G164" s="12">
        <v>158000.0</v>
      </c>
      <c r="H164" s="12">
        <f t="shared" si="1"/>
        <v>4108000</v>
      </c>
      <c r="I164" s="10" t="s">
        <v>61</v>
      </c>
    </row>
    <row r="165" ht="15.0" customHeight="1">
      <c r="A165" s="5">
        <v>45519.0</v>
      </c>
      <c r="B165" s="6" t="s">
        <v>62</v>
      </c>
      <c r="C165" s="6" t="s">
        <v>30</v>
      </c>
      <c r="D165" s="7">
        <v>3.0</v>
      </c>
      <c r="E165" s="6" t="s">
        <v>31</v>
      </c>
      <c r="F165" s="7">
        <v>2.0</v>
      </c>
      <c r="G165" s="8">
        <v>41000.0</v>
      </c>
      <c r="H165" s="8">
        <f t="shared" si="1"/>
        <v>82000</v>
      </c>
      <c r="I165" s="6" t="s">
        <v>63</v>
      </c>
    </row>
    <row r="166" ht="15.0" customHeight="1">
      <c r="A166" s="9">
        <v>45520.0</v>
      </c>
      <c r="B166" s="10" t="s">
        <v>29</v>
      </c>
      <c r="C166" s="10" t="s">
        <v>39</v>
      </c>
      <c r="D166" s="11">
        <v>5.0</v>
      </c>
      <c r="E166" s="10" t="s">
        <v>20</v>
      </c>
      <c r="F166" s="11">
        <v>42.0</v>
      </c>
      <c r="G166" s="12">
        <v>17000.0</v>
      </c>
      <c r="H166" s="12">
        <f t="shared" si="1"/>
        <v>714000</v>
      </c>
      <c r="I166" s="10" t="s">
        <v>32</v>
      </c>
    </row>
    <row r="167" ht="15.0" customHeight="1">
      <c r="A167" s="5">
        <v>45520.0</v>
      </c>
      <c r="B167" s="6" t="s">
        <v>73</v>
      </c>
      <c r="C167" s="6" t="s">
        <v>89</v>
      </c>
      <c r="D167" s="7">
        <v>5.0</v>
      </c>
      <c r="E167" s="6" t="s">
        <v>20</v>
      </c>
      <c r="F167" s="7">
        <v>11.0</v>
      </c>
      <c r="G167" s="8">
        <v>13000.0</v>
      </c>
      <c r="H167" s="8">
        <f t="shared" si="1"/>
        <v>143000</v>
      </c>
      <c r="I167" s="6" t="s">
        <v>74</v>
      </c>
    </row>
    <row r="168" ht="15.0" customHeight="1">
      <c r="A168" s="9">
        <v>45521.0</v>
      </c>
      <c r="B168" s="10" t="s">
        <v>14</v>
      </c>
      <c r="C168" s="10" t="s">
        <v>15</v>
      </c>
      <c r="D168" s="11">
        <v>7.0</v>
      </c>
      <c r="E168" s="10" t="s">
        <v>16</v>
      </c>
      <c r="F168" s="11">
        <v>38.0</v>
      </c>
      <c r="G168" s="12">
        <v>85000.0</v>
      </c>
      <c r="H168" s="12">
        <f t="shared" si="1"/>
        <v>3230000</v>
      </c>
      <c r="I168" s="10" t="s">
        <v>17</v>
      </c>
    </row>
    <row r="169" ht="15.0" customHeight="1">
      <c r="A169" s="5">
        <v>45522.0</v>
      </c>
      <c r="B169" s="6" t="s">
        <v>76</v>
      </c>
      <c r="C169" s="6" t="s">
        <v>83</v>
      </c>
      <c r="D169" s="7">
        <v>7.0</v>
      </c>
      <c r="E169" s="6" t="s">
        <v>16</v>
      </c>
      <c r="F169" s="7">
        <v>17.0</v>
      </c>
      <c r="G169" s="8">
        <v>56000.0</v>
      </c>
      <c r="H169" s="8">
        <f t="shared" si="1"/>
        <v>952000</v>
      </c>
      <c r="I169" s="6" t="s">
        <v>78</v>
      </c>
    </row>
    <row r="170" ht="15.0" customHeight="1">
      <c r="A170" s="9">
        <v>45527.0</v>
      </c>
      <c r="B170" s="10" t="s">
        <v>25</v>
      </c>
      <c r="C170" s="10" t="s">
        <v>86</v>
      </c>
      <c r="D170" s="11">
        <v>2.0</v>
      </c>
      <c r="E170" s="10" t="s">
        <v>27</v>
      </c>
      <c r="F170" s="11">
        <v>1.0</v>
      </c>
      <c r="G170" s="12">
        <v>133000.0</v>
      </c>
      <c r="H170" s="12">
        <f t="shared" si="1"/>
        <v>133000</v>
      </c>
      <c r="I170" s="10" t="s">
        <v>28</v>
      </c>
    </row>
    <row r="171" ht="15.0" customHeight="1">
      <c r="A171" s="5">
        <v>45527.0</v>
      </c>
      <c r="B171" s="6" t="s">
        <v>22</v>
      </c>
      <c r="C171" s="6" t="s">
        <v>77</v>
      </c>
      <c r="D171" s="7">
        <v>7.0</v>
      </c>
      <c r="E171" s="6" t="s">
        <v>16</v>
      </c>
      <c r="F171" s="7">
        <v>78.0</v>
      </c>
      <c r="G171" s="8">
        <v>39000.0</v>
      </c>
      <c r="H171" s="8">
        <f t="shared" si="1"/>
        <v>3042000</v>
      </c>
      <c r="I171" s="6" t="s">
        <v>24</v>
      </c>
    </row>
    <row r="172" ht="15.0" customHeight="1">
      <c r="A172" s="9">
        <v>45528.0</v>
      </c>
      <c r="B172" s="10" t="s">
        <v>67</v>
      </c>
      <c r="C172" s="10" t="s">
        <v>60</v>
      </c>
      <c r="D172" s="11">
        <v>6.0</v>
      </c>
      <c r="E172" s="10" t="s">
        <v>57</v>
      </c>
      <c r="F172" s="11">
        <v>8.0</v>
      </c>
      <c r="G172" s="12">
        <v>85000.0</v>
      </c>
      <c r="H172" s="12">
        <f t="shared" si="1"/>
        <v>680000</v>
      </c>
      <c r="I172" s="10" t="s">
        <v>69</v>
      </c>
    </row>
    <row r="173" ht="15.0" customHeight="1">
      <c r="A173" s="5">
        <v>45530.0</v>
      </c>
      <c r="B173" s="6" t="s">
        <v>67</v>
      </c>
      <c r="C173" s="6" t="s">
        <v>60</v>
      </c>
      <c r="D173" s="7">
        <v>6.0</v>
      </c>
      <c r="E173" s="6" t="s">
        <v>57</v>
      </c>
      <c r="F173" s="7">
        <v>12.0</v>
      </c>
      <c r="G173" s="8">
        <v>97000.0</v>
      </c>
      <c r="H173" s="8">
        <f t="shared" si="1"/>
        <v>1164000</v>
      </c>
      <c r="I173" s="6" t="s">
        <v>69</v>
      </c>
    </row>
    <row r="174" ht="15.0" customHeight="1">
      <c r="A174" s="9">
        <v>45538.0</v>
      </c>
      <c r="B174" s="10" t="s">
        <v>67</v>
      </c>
      <c r="C174" s="10" t="s">
        <v>60</v>
      </c>
      <c r="D174" s="11">
        <v>6.0</v>
      </c>
      <c r="E174" s="10" t="s">
        <v>57</v>
      </c>
      <c r="F174" s="11">
        <v>43.0</v>
      </c>
      <c r="G174" s="12">
        <v>100000.0</v>
      </c>
      <c r="H174" s="12">
        <f t="shared" si="1"/>
        <v>4300000</v>
      </c>
      <c r="I174" s="10" t="s">
        <v>69</v>
      </c>
    </row>
    <row r="175" ht="15.0" customHeight="1">
      <c r="A175" s="5">
        <v>45540.0</v>
      </c>
      <c r="B175" s="6" t="s">
        <v>76</v>
      </c>
      <c r="C175" s="6" t="s">
        <v>81</v>
      </c>
      <c r="D175" s="7">
        <v>7.0</v>
      </c>
      <c r="E175" s="6" t="s">
        <v>16</v>
      </c>
      <c r="F175" s="7">
        <v>20.0</v>
      </c>
      <c r="G175" s="8">
        <v>40000.0</v>
      </c>
      <c r="H175" s="8">
        <f t="shared" si="1"/>
        <v>800000</v>
      </c>
      <c r="I175" s="6" t="s">
        <v>78</v>
      </c>
    </row>
    <row r="176" ht="15.0" customHeight="1">
      <c r="A176" s="9">
        <v>45540.0</v>
      </c>
      <c r="B176" s="10" t="s">
        <v>44</v>
      </c>
      <c r="C176" s="10" t="s">
        <v>66</v>
      </c>
      <c r="D176" s="11">
        <v>3.0</v>
      </c>
      <c r="E176" s="10" t="s">
        <v>31</v>
      </c>
      <c r="F176" s="11">
        <v>60.0</v>
      </c>
      <c r="G176" s="12">
        <v>105000.0</v>
      </c>
      <c r="H176" s="12">
        <f t="shared" si="1"/>
        <v>6300000</v>
      </c>
      <c r="I176" s="10" t="s">
        <v>46</v>
      </c>
    </row>
    <row r="177" ht="15.0" customHeight="1">
      <c r="A177" s="5">
        <v>45542.0</v>
      </c>
      <c r="B177" s="6" t="s">
        <v>53</v>
      </c>
      <c r="C177" s="6" t="s">
        <v>11</v>
      </c>
      <c r="D177" s="7">
        <v>4.0</v>
      </c>
      <c r="E177" s="6" t="s">
        <v>12</v>
      </c>
      <c r="F177" s="7">
        <v>77.0</v>
      </c>
      <c r="G177" s="8">
        <v>90000.0</v>
      </c>
      <c r="H177" s="8">
        <f t="shared" si="1"/>
        <v>6930000</v>
      </c>
      <c r="I177" s="6" t="s">
        <v>54</v>
      </c>
    </row>
    <row r="178" ht="15.0" customHeight="1">
      <c r="A178" s="9">
        <v>45543.0</v>
      </c>
      <c r="B178" s="10" t="s">
        <v>36</v>
      </c>
      <c r="C178" s="10" t="s">
        <v>50</v>
      </c>
      <c r="D178" s="11">
        <v>3.0</v>
      </c>
      <c r="E178" s="10" t="s">
        <v>31</v>
      </c>
      <c r="F178" s="11">
        <v>6.0</v>
      </c>
      <c r="G178" s="12">
        <v>87000.0</v>
      </c>
      <c r="H178" s="12">
        <f t="shared" si="1"/>
        <v>522000</v>
      </c>
      <c r="I178" s="10" t="s">
        <v>38</v>
      </c>
    </row>
    <row r="179" ht="15.0" customHeight="1">
      <c r="A179" s="5">
        <v>45544.0</v>
      </c>
      <c r="B179" s="6" t="s">
        <v>55</v>
      </c>
      <c r="C179" s="6" t="s">
        <v>79</v>
      </c>
      <c r="D179" s="7">
        <v>6.0</v>
      </c>
      <c r="E179" s="6" t="s">
        <v>57</v>
      </c>
      <c r="F179" s="7">
        <v>42.0</v>
      </c>
      <c r="G179" s="8">
        <v>381000.0</v>
      </c>
      <c r="H179" s="8">
        <f t="shared" si="1"/>
        <v>16002000</v>
      </c>
      <c r="I179" s="6" t="s">
        <v>58</v>
      </c>
    </row>
    <row r="180" ht="15.0" customHeight="1">
      <c r="A180" s="9">
        <v>45546.0</v>
      </c>
      <c r="B180" s="10" t="s">
        <v>62</v>
      </c>
      <c r="C180" s="10" t="s">
        <v>30</v>
      </c>
      <c r="D180" s="11">
        <v>3.0</v>
      </c>
      <c r="E180" s="10" t="s">
        <v>31</v>
      </c>
      <c r="F180" s="11">
        <v>49.0</v>
      </c>
      <c r="G180" s="12">
        <v>38000.0</v>
      </c>
      <c r="H180" s="12">
        <f t="shared" si="1"/>
        <v>1862000</v>
      </c>
      <c r="I180" s="10" t="s">
        <v>63</v>
      </c>
    </row>
    <row r="181" ht="15.0" customHeight="1">
      <c r="A181" s="5">
        <v>45551.0</v>
      </c>
      <c r="B181" s="6" t="s">
        <v>73</v>
      </c>
      <c r="C181" s="6" t="s">
        <v>23</v>
      </c>
      <c r="D181" s="7">
        <v>4.0</v>
      </c>
      <c r="E181" s="6" t="s">
        <v>12</v>
      </c>
      <c r="F181" s="7">
        <v>24.0</v>
      </c>
      <c r="G181" s="8">
        <v>93000.0</v>
      </c>
      <c r="H181" s="8">
        <f t="shared" si="1"/>
        <v>2232000</v>
      </c>
      <c r="I181" s="6" t="s">
        <v>74</v>
      </c>
    </row>
    <row r="182" ht="15.0" customHeight="1">
      <c r="A182" s="9">
        <v>45552.0</v>
      </c>
      <c r="B182" s="10" t="s">
        <v>55</v>
      </c>
      <c r="C182" s="10" t="s">
        <v>68</v>
      </c>
      <c r="D182" s="11">
        <v>6.0</v>
      </c>
      <c r="E182" s="10" t="s">
        <v>57</v>
      </c>
      <c r="F182" s="11">
        <v>30.0</v>
      </c>
      <c r="G182" s="12">
        <v>429000.0</v>
      </c>
      <c r="H182" s="12">
        <f t="shared" si="1"/>
        <v>12870000</v>
      </c>
      <c r="I182" s="10" t="s">
        <v>58</v>
      </c>
    </row>
    <row r="183" ht="15.0" customHeight="1">
      <c r="A183" s="5">
        <v>45555.0</v>
      </c>
      <c r="B183" s="6" t="s">
        <v>51</v>
      </c>
      <c r="C183" s="6" t="s">
        <v>26</v>
      </c>
      <c r="D183" s="7">
        <v>2.0</v>
      </c>
      <c r="E183" s="6" t="s">
        <v>27</v>
      </c>
      <c r="F183" s="7">
        <v>23.0</v>
      </c>
      <c r="G183" s="8">
        <v>45000.0</v>
      </c>
      <c r="H183" s="8">
        <f t="shared" si="1"/>
        <v>1035000</v>
      </c>
      <c r="I183" s="6" t="s">
        <v>52</v>
      </c>
    </row>
    <row r="184" ht="15.0" customHeight="1">
      <c r="A184" s="9">
        <v>45557.0</v>
      </c>
      <c r="B184" s="10" t="s">
        <v>70</v>
      </c>
      <c r="C184" s="10" t="s">
        <v>11</v>
      </c>
      <c r="D184" s="11">
        <v>4.0</v>
      </c>
      <c r="E184" s="10" t="s">
        <v>12</v>
      </c>
      <c r="F184" s="11">
        <v>5.0</v>
      </c>
      <c r="G184" s="12">
        <v>88000.0</v>
      </c>
      <c r="H184" s="12">
        <f t="shared" si="1"/>
        <v>440000</v>
      </c>
      <c r="I184" s="10" t="s">
        <v>71</v>
      </c>
    </row>
    <row r="185" ht="15.0" customHeight="1">
      <c r="A185" s="5">
        <v>45558.0</v>
      </c>
      <c r="B185" s="6" t="s">
        <v>10</v>
      </c>
      <c r="C185" s="6" t="s">
        <v>35</v>
      </c>
      <c r="D185" s="7">
        <v>3.0</v>
      </c>
      <c r="E185" s="6" t="s">
        <v>31</v>
      </c>
      <c r="F185" s="7">
        <v>2.0</v>
      </c>
      <c r="G185" s="8">
        <v>60000.0</v>
      </c>
      <c r="H185" s="8">
        <f t="shared" si="1"/>
        <v>120000</v>
      </c>
      <c r="I185" s="6" t="s">
        <v>13</v>
      </c>
    </row>
    <row r="186" ht="15.0" customHeight="1">
      <c r="A186" s="9">
        <v>45559.0</v>
      </c>
      <c r="B186" s="10" t="s">
        <v>73</v>
      </c>
      <c r="C186" s="10" t="s">
        <v>87</v>
      </c>
      <c r="D186" s="11">
        <v>5.0</v>
      </c>
      <c r="E186" s="10" t="s">
        <v>20</v>
      </c>
      <c r="F186" s="11">
        <v>25.0</v>
      </c>
      <c r="G186" s="12">
        <v>21000.0</v>
      </c>
      <c r="H186" s="12">
        <f t="shared" si="1"/>
        <v>525000</v>
      </c>
      <c r="I186" s="10" t="s">
        <v>74</v>
      </c>
    </row>
    <row r="187" ht="15.0" customHeight="1">
      <c r="A187" s="5">
        <v>45560.0</v>
      </c>
      <c r="B187" s="6" t="s">
        <v>18</v>
      </c>
      <c r="C187" s="6" t="s">
        <v>19</v>
      </c>
      <c r="D187" s="7">
        <v>5.0</v>
      </c>
      <c r="E187" s="6" t="s">
        <v>20</v>
      </c>
      <c r="F187" s="7">
        <v>4.0</v>
      </c>
      <c r="G187" s="8">
        <v>10000.0</v>
      </c>
      <c r="H187" s="8">
        <f t="shared" si="1"/>
        <v>40000</v>
      </c>
      <c r="I187" s="6" t="s">
        <v>21</v>
      </c>
    </row>
    <row r="188" ht="15.0" customHeight="1">
      <c r="A188" s="9">
        <v>45562.0</v>
      </c>
      <c r="B188" s="10" t="s">
        <v>76</v>
      </c>
      <c r="C188" s="10" t="s">
        <v>83</v>
      </c>
      <c r="D188" s="11">
        <v>7.0</v>
      </c>
      <c r="E188" s="10" t="s">
        <v>16</v>
      </c>
      <c r="F188" s="11">
        <v>47.0</v>
      </c>
      <c r="G188" s="12">
        <v>48000.0</v>
      </c>
      <c r="H188" s="12">
        <f t="shared" si="1"/>
        <v>2256000</v>
      </c>
      <c r="I188" s="10" t="s">
        <v>78</v>
      </c>
    </row>
    <row r="189" ht="15.0" customHeight="1">
      <c r="A189" s="5">
        <v>45565.0</v>
      </c>
      <c r="B189" s="6" t="s">
        <v>67</v>
      </c>
      <c r="C189" s="6" t="s">
        <v>75</v>
      </c>
      <c r="D189" s="7">
        <v>6.0</v>
      </c>
      <c r="E189" s="6" t="s">
        <v>57</v>
      </c>
      <c r="F189" s="7">
        <v>38.0</v>
      </c>
      <c r="G189" s="8">
        <v>140000.0</v>
      </c>
      <c r="H189" s="8">
        <f t="shared" si="1"/>
        <v>5320000</v>
      </c>
      <c r="I189" s="6" t="s">
        <v>69</v>
      </c>
    </row>
    <row r="190" ht="15.0" customHeight="1">
      <c r="A190" s="9">
        <v>45565.0</v>
      </c>
      <c r="B190" s="10" t="s">
        <v>40</v>
      </c>
      <c r="C190" s="10" t="s">
        <v>30</v>
      </c>
      <c r="D190" s="11">
        <v>3.0</v>
      </c>
      <c r="E190" s="10" t="s">
        <v>31</v>
      </c>
      <c r="F190" s="11">
        <v>43.0</v>
      </c>
      <c r="G190" s="12">
        <v>34000.0</v>
      </c>
      <c r="H190" s="12">
        <f t="shared" si="1"/>
        <v>1462000</v>
      </c>
      <c r="I190" s="10" t="s">
        <v>42</v>
      </c>
    </row>
    <row r="191" ht="15.0" customHeight="1">
      <c r="A191" s="5">
        <v>45566.0</v>
      </c>
      <c r="B191" s="6" t="s">
        <v>55</v>
      </c>
      <c r="C191" s="6" t="s">
        <v>75</v>
      </c>
      <c r="D191" s="7">
        <v>6.0</v>
      </c>
      <c r="E191" s="6" t="s">
        <v>57</v>
      </c>
      <c r="F191" s="7">
        <v>16.0</v>
      </c>
      <c r="G191" s="8">
        <v>145000.0</v>
      </c>
      <c r="H191" s="8">
        <f t="shared" si="1"/>
        <v>2320000</v>
      </c>
      <c r="I191" s="6" t="s">
        <v>58</v>
      </c>
    </row>
    <row r="192" ht="15.0" customHeight="1">
      <c r="A192" s="9">
        <v>45568.0</v>
      </c>
      <c r="B192" s="10" t="s">
        <v>40</v>
      </c>
      <c r="C192" s="10" t="s">
        <v>43</v>
      </c>
      <c r="D192" s="11">
        <v>1.0</v>
      </c>
      <c r="E192" s="10" t="s">
        <v>34</v>
      </c>
      <c r="F192" s="11">
        <v>2.0</v>
      </c>
      <c r="G192" s="12">
        <v>517000.0</v>
      </c>
      <c r="H192" s="12">
        <f t="shared" si="1"/>
        <v>1034000</v>
      </c>
      <c r="I192" s="10" t="s">
        <v>42</v>
      </c>
    </row>
    <row r="193" ht="15.0" customHeight="1">
      <c r="A193" s="5">
        <v>45570.0</v>
      </c>
      <c r="B193" s="6" t="s">
        <v>25</v>
      </c>
      <c r="C193" s="6" t="s">
        <v>80</v>
      </c>
      <c r="D193" s="7">
        <v>2.0</v>
      </c>
      <c r="E193" s="6" t="s">
        <v>27</v>
      </c>
      <c r="F193" s="7">
        <v>14.0</v>
      </c>
      <c r="G193" s="8">
        <v>45000.0</v>
      </c>
      <c r="H193" s="8">
        <f t="shared" si="1"/>
        <v>630000</v>
      </c>
      <c r="I193" s="6" t="s">
        <v>28</v>
      </c>
    </row>
    <row r="194" ht="15.0" customHeight="1">
      <c r="A194" s="9">
        <v>45573.0</v>
      </c>
      <c r="B194" s="10" t="s">
        <v>53</v>
      </c>
      <c r="C194" s="10" t="s">
        <v>43</v>
      </c>
      <c r="D194" s="11">
        <v>1.0</v>
      </c>
      <c r="E194" s="10" t="s">
        <v>34</v>
      </c>
      <c r="F194" s="11">
        <v>60.0</v>
      </c>
      <c r="G194" s="12">
        <v>530000.0</v>
      </c>
      <c r="H194" s="12">
        <f t="shared" si="1"/>
        <v>31800000</v>
      </c>
      <c r="I194" s="10" t="s">
        <v>54</v>
      </c>
    </row>
    <row r="195" ht="15.0" customHeight="1">
      <c r="A195" s="5">
        <v>45577.0</v>
      </c>
      <c r="B195" s="6" t="s">
        <v>18</v>
      </c>
      <c r="C195" s="6" t="s">
        <v>19</v>
      </c>
      <c r="D195" s="7">
        <v>5.0</v>
      </c>
      <c r="E195" s="6" t="s">
        <v>20</v>
      </c>
      <c r="F195" s="7">
        <v>76.0</v>
      </c>
      <c r="G195" s="8">
        <v>25000.0</v>
      </c>
      <c r="H195" s="8">
        <f t="shared" si="1"/>
        <v>1900000</v>
      </c>
      <c r="I195" s="6" t="s">
        <v>21</v>
      </c>
    </row>
    <row r="196" ht="15.0" customHeight="1">
      <c r="A196" s="9">
        <v>45578.0</v>
      </c>
      <c r="B196" s="10" t="s">
        <v>64</v>
      </c>
      <c r="C196" s="10" t="s">
        <v>85</v>
      </c>
      <c r="D196" s="11">
        <v>4.0</v>
      </c>
      <c r="E196" s="10" t="s">
        <v>12</v>
      </c>
      <c r="F196" s="11">
        <v>14.0</v>
      </c>
      <c r="G196" s="12">
        <v>68000.0</v>
      </c>
      <c r="H196" s="12">
        <f t="shared" si="1"/>
        <v>952000</v>
      </c>
      <c r="I196" s="10" t="s">
        <v>65</v>
      </c>
    </row>
    <row r="197" ht="15.0" customHeight="1">
      <c r="A197" s="5">
        <v>45578.0</v>
      </c>
      <c r="B197" s="6" t="s">
        <v>53</v>
      </c>
      <c r="C197" s="6" t="s">
        <v>89</v>
      </c>
      <c r="D197" s="7">
        <v>5.0</v>
      </c>
      <c r="E197" s="6" t="s">
        <v>20</v>
      </c>
      <c r="F197" s="7">
        <v>19.0</v>
      </c>
      <c r="G197" s="8">
        <v>29000.0</v>
      </c>
      <c r="H197" s="8">
        <f t="shared" si="1"/>
        <v>551000</v>
      </c>
      <c r="I197" s="6" t="s">
        <v>54</v>
      </c>
    </row>
    <row r="198" ht="15.0" customHeight="1">
      <c r="A198" s="9">
        <v>45578.0</v>
      </c>
      <c r="B198" s="10" t="s">
        <v>10</v>
      </c>
      <c r="C198" s="10" t="s">
        <v>50</v>
      </c>
      <c r="D198" s="11">
        <v>3.0</v>
      </c>
      <c r="E198" s="10" t="s">
        <v>31</v>
      </c>
      <c r="F198" s="11">
        <v>12.0</v>
      </c>
      <c r="G198" s="12">
        <v>79000.0</v>
      </c>
      <c r="H198" s="12">
        <f t="shared" si="1"/>
        <v>948000</v>
      </c>
      <c r="I198" s="10" t="s">
        <v>13</v>
      </c>
    </row>
    <row r="199" ht="15.0" customHeight="1">
      <c r="A199" s="5">
        <v>45579.0</v>
      </c>
      <c r="B199" s="6" t="s">
        <v>53</v>
      </c>
      <c r="C199" s="6" t="s">
        <v>89</v>
      </c>
      <c r="D199" s="7">
        <v>5.0</v>
      </c>
      <c r="E199" s="6" t="s">
        <v>20</v>
      </c>
      <c r="F199" s="7">
        <v>50.0</v>
      </c>
      <c r="G199" s="8">
        <v>30000.0</v>
      </c>
      <c r="H199" s="8">
        <f t="shared" si="1"/>
        <v>1500000</v>
      </c>
      <c r="I199" s="6" t="s">
        <v>54</v>
      </c>
    </row>
    <row r="200" ht="15.0" customHeight="1">
      <c r="A200" s="9">
        <v>45580.0</v>
      </c>
      <c r="B200" s="10" t="s">
        <v>70</v>
      </c>
      <c r="C200" s="10" t="s">
        <v>85</v>
      </c>
      <c r="D200" s="11">
        <v>4.0</v>
      </c>
      <c r="E200" s="10" t="s">
        <v>12</v>
      </c>
      <c r="F200" s="11">
        <v>17.0</v>
      </c>
      <c r="G200" s="12">
        <v>62000.0</v>
      </c>
      <c r="H200" s="12">
        <f t="shared" si="1"/>
        <v>1054000</v>
      </c>
      <c r="I200" s="10" t="s">
        <v>71</v>
      </c>
    </row>
    <row r="201" ht="15.0" customHeight="1">
      <c r="A201" s="5">
        <v>45582.0</v>
      </c>
      <c r="B201" s="6" t="s">
        <v>14</v>
      </c>
      <c r="C201" s="6" t="s">
        <v>15</v>
      </c>
      <c r="D201" s="7">
        <v>7.0</v>
      </c>
      <c r="E201" s="6" t="s">
        <v>16</v>
      </c>
      <c r="F201" s="7">
        <v>9.0</v>
      </c>
      <c r="G201" s="8">
        <v>87000.0</v>
      </c>
      <c r="H201" s="8">
        <f t="shared" si="1"/>
        <v>783000</v>
      </c>
      <c r="I201" s="6" t="s">
        <v>17</v>
      </c>
    </row>
    <row r="202" ht="15.0" customHeight="1">
      <c r="A202" s="9">
        <v>45583.0</v>
      </c>
      <c r="B202" s="10" t="s">
        <v>14</v>
      </c>
      <c r="C202" s="10" t="s">
        <v>15</v>
      </c>
      <c r="D202" s="11">
        <v>7.0</v>
      </c>
      <c r="E202" s="10" t="s">
        <v>16</v>
      </c>
      <c r="F202" s="11">
        <v>1.0</v>
      </c>
      <c r="G202" s="12">
        <v>94000.0</v>
      </c>
      <c r="H202" s="12">
        <f t="shared" si="1"/>
        <v>94000</v>
      </c>
      <c r="I202" s="10" t="s">
        <v>17</v>
      </c>
    </row>
    <row r="203" ht="15.0" customHeight="1">
      <c r="A203" s="5">
        <v>45584.0</v>
      </c>
      <c r="B203" s="6" t="s">
        <v>18</v>
      </c>
      <c r="C203" s="6" t="s">
        <v>79</v>
      </c>
      <c r="D203" s="7">
        <v>6.0</v>
      </c>
      <c r="E203" s="6" t="s">
        <v>57</v>
      </c>
      <c r="F203" s="7">
        <v>48.0</v>
      </c>
      <c r="G203" s="8">
        <v>378000.0</v>
      </c>
      <c r="H203" s="8">
        <f t="shared" si="1"/>
        <v>18144000</v>
      </c>
      <c r="I203" s="6" t="s">
        <v>21</v>
      </c>
    </row>
    <row r="204" ht="15.0" customHeight="1">
      <c r="A204" s="9">
        <v>45588.0</v>
      </c>
      <c r="B204" s="10" t="s">
        <v>40</v>
      </c>
      <c r="C204" s="10" t="s">
        <v>84</v>
      </c>
      <c r="D204" s="11">
        <v>1.0</v>
      </c>
      <c r="E204" s="10" t="s">
        <v>34</v>
      </c>
      <c r="F204" s="11">
        <v>13.0</v>
      </c>
      <c r="G204" s="12">
        <v>315000.0</v>
      </c>
      <c r="H204" s="12">
        <f t="shared" si="1"/>
        <v>4095000</v>
      </c>
      <c r="I204" s="10" t="s">
        <v>42</v>
      </c>
    </row>
    <row r="205" ht="15.0" customHeight="1">
      <c r="A205" s="5">
        <v>45595.0</v>
      </c>
      <c r="B205" s="6" t="s">
        <v>36</v>
      </c>
      <c r="C205" s="6" t="s">
        <v>50</v>
      </c>
      <c r="D205" s="7">
        <v>3.0</v>
      </c>
      <c r="E205" s="6" t="s">
        <v>31</v>
      </c>
      <c r="F205" s="7">
        <v>48.0</v>
      </c>
      <c r="G205" s="8">
        <v>82000.0</v>
      </c>
      <c r="H205" s="8">
        <f t="shared" si="1"/>
        <v>3936000</v>
      </c>
      <c r="I205" s="6" t="s">
        <v>38</v>
      </c>
    </row>
    <row r="206" ht="15.0" customHeight="1">
      <c r="A206" s="9">
        <v>45598.0</v>
      </c>
      <c r="B206" s="10" t="s">
        <v>10</v>
      </c>
      <c r="C206" s="10" t="s">
        <v>56</v>
      </c>
      <c r="D206" s="11">
        <v>6.0</v>
      </c>
      <c r="E206" s="10" t="s">
        <v>57</v>
      </c>
      <c r="F206" s="11">
        <v>56.0</v>
      </c>
      <c r="G206" s="12">
        <v>51000.0</v>
      </c>
      <c r="H206" s="12">
        <f t="shared" si="1"/>
        <v>2856000</v>
      </c>
      <c r="I206" s="10" t="s">
        <v>13</v>
      </c>
    </row>
    <row r="207" ht="15.0" customHeight="1">
      <c r="A207" s="5">
        <v>45601.0</v>
      </c>
      <c r="B207" s="6" t="s">
        <v>62</v>
      </c>
      <c r="C207" s="6" t="s">
        <v>50</v>
      </c>
      <c r="D207" s="7">
        <v>3.0</v>
      </c>
      <c r="E207" s="6" t="s">
        <v>31</v>
      </c>
      <c r="F207" s="7">
        <v>50.0</v>
      </c>
      <c r="G207" s="8">
        <v>70000.0</v>
      </c>
      <c r="H207" s="8">
        <f t="shared" si="1"/>
        <v>3500000</v>
      </c>
      <c r="I207" s="6" t="s">
        <v>63</v>
      </c>
    </row>
    <row r="208" ht="15.0" customHeight="1">
      <c r="A208" s="9">
        <v>45602.0</v>
      </c>
      <c r="B208" s="10" t="s">
        <v>76</v>
      </c>
      <c r="C208" s="10" t="s">
        <v>15</v>
      </c>
      <c r="D208" s="11">
        <v>7.0</v>
      </c>
      <c r="E208" s="10" t="s">
        <v>16</v>
      </c>
      <c r="F208" s="11">
        <v>31.0</v>
      </c>
      <c r="G208" s="12">
        <v>88000.0</v>
      </c>
      <c r="H208" s="12">
        <f t="shared" si="1"/>
        <v>2728000</v>
      </c>
      <c r="I208" s="10" t="s">
        <v>78</v>
      </c>
    </row>
    <row r="209" ht="15.0" customHeight="1">
      <c r="A209" s="5">
        <v>45603.0</v>
      </c>
      <c r="B209" s="6" t="s">
        <v>18</v>
      </c>
      <c r="C209" s="6" t="s">
        <v>19</v>
      </c>
      <c r="D209" s="7">
        <v>5.0</v>
      </c>
      <c r="E209" s="6" t="s">
        <v>20</v>
      </c>
      <c r="F209" s="7">
        <v>23.0</v>
      </c>
      <c r="G209" s="8">
        <v>5000.0</v>
      </c>
      <c r="H209" s="8">
        <f t="shared" si="1"/>
        <v>115000</v>
      </c>
      <c r="I209" s="6" t="s">
        <v>21</v>
      </c>
    </row>
    <row r="210" ht="15.0" customHeight="1">
      <c r="A210" s="9">
        <v>45604.0</v>
      </c>
      <c r="B210" s="10" t="s">
        <v>40</v>
      </c>
      <c r="C210" s="10" t="s">
        <v>33</v>
      </c>
      <c r="D210" s="11">
        <v>1.0</v>
      </c>
      <c r="E210" s="10" t="s">
        <v>34</v>
      </c>
      <c r="F210" s="11">
        <v>2.0</v>
      </c>
      <c r="G210" s="12">
        <v>657000.0</v>
      </c>
      <c r="H210" s="12">
        <f t="shared" si="1"/>
        <v>1314000</v>
      </c>
      <c r="I210" s="10" t="s">
        <v>42</v>
      </c>
    </row>
    <row r="211" ht="15.0" customHeight="1">
      <c r="A211" s="5">
        <v>45605.0</v>
      </c>
      <c r="B211" s="6" t="s">
        <v>47</v>
      </c>
      <c r="C211" s="6" t="s">
        <v>90</v>
      </c>
      <c r="D211" s="7">
        <v>2.0</v>
      </c>
      <c r="E211" s="6" t="s">
        <v>27</v>
      </c>
      <c r="F211" s="7">
        <v>10.0</v>
      </c>
      <c r="G211" s="8">
        <v>92000.0</v>
      </c>
      <c r="H211" s="8">
        <f t="shared" si="1"/>
        <v>920000</v>
      </c>
      <c r="I211" s="6" t="s">
        <v>49</v>
      </c>
    </row>
    <row r="212" ht="15.0" customHeight="1">
      <c r="A212" s="9">
        <v>45606.0</v>
      </c>
      <c r="B212" s="10" t="s">
        <v>64</v>
      </c>
      <c r="C212" s="10" t="s">
        <v>11</v>
      </c>
      <c r="D212" s="11">
        <v>4.0</v>
      </c>
      <c r="E212" s="10" t="s">
        <v>12</v>
      </c>
      <c r="F212" s="11">
        <v>24.0</v>
      </c>
      <c r="G212" s="12">
        <v>77000.0</v>
      </c>
      <c r="H212" s="12">
        <f t="shared" si="1"/>
        <v>1848000</v>
      </c>
      <c r="I212" s="10" t="s">
        <v>65</v>
      </c>
    </row>
    <row r="213" ht="15.0" customHeight="1">
      <c r="A213" s="5">
        <v>45607.0</v>
      </c>
      <c r="B213" s="6" t="s">
        <v>47</v>
      </c>
      <c r="C213" s="6" t="s">
        <v>19</v>
      </c>
      <c r="D213" s="7">
        <v>5.0</v>
      </c>
      <c r="E213" s="6" t="s">
        <v>20</v>
      </c>
      <c r="F213" s="7">
        <v>100.0</v>
      </c>
      <c r="G213" s="8">
        <v>18000.0</v>
      </c>
      <c r="H213" s="8">
        <f t="shared" si="1"/>
        <v>1800000</v>
      </c>
      <c r="I213" s="6" t="s">
        <v>49</v>
      </c>
    </row>
    <row r="214" ht="15.0" customHeight="1">
      <c r="A214" s="9">
        <v>45611.0</v>
      </c>
      <c r="B214" s="10" t="s">
        <v>14</v>
      </c>
      <c r="C214" s="10" t="s">
        <v>66</v>
      </c>
      <c r="D214" s="11">
        <v>3.0</v>
      </c>
      <c r="E214" s="10" t="s">
        <v>31</v>
      </c>
      <c r="F214" s="11">
        <v>62.0</v>
      </c>
      <c r="G214" s="12">
        <v>95000.0</v>
      </c>
      <c r="H214" s="12">
        <f t="shared" si="1"/>
        <v>5890000</v>
      </c>
      <c r="I214" s="10" t="s">
        <v>17</v>
      </c>
    </row>
    <row r="215" ht="15.0" customHeight="1">
      <c r="A215" s="5">
        <v>45612.0</v>
      </c>
      <c r="B215" s="6" t="s">
        <v>64</v>
      </c>
      <c r="C215" s="6" t="s">
        <v>72</v>
      </c>
      <c r="D215" s="7">
        <v>4.0</v>
      </c>
      <c r="E215" s="6" t="s">
        <v>12</v>
      </c>
      <c r="F215" s="7">
        <v>27.0</v>
      </c>
      <c r="G215" s="8">
        <v>64000.0</v>
      </c>
      <c r="H215" s="8">
        <f t="shared" si="1"/>
        <v>1728000</v>
      </c>
      <c r="I215" s="6" t="s">
        <v>65</v>
      </c>
    </row>
    <row r="216" ht="15.0" customHeight="1">
      <c r="A216" s="9">
        <v>45614.0</v>
      </c>
      <c r="B216" s="10" t="s">
        <v>44</v>
      </c>
      <c r="C216" s="10" t="s">
        <v>87</v>
      </c>
      <c r="D216" s="11">
        <v>5.0</v>
      </c>
      <c r="E216" s="10" t="s">
        <v>20</v>
      </c>
      <c r="F216" s="11">
        <v>26.0</v>
      </c>
      <c r="G216" s="12">
        <v>29000.0</v>
      </c>
      <c r="H216" s="12">
        <f t="shared" si="1"/>
        <v>754000</v>
      </c>
      <c r="I216" s="10" t="s">
        <v>46</v>
      </c>
    </row>
    <row r="217" ht="15.0" customHeight="1">
      <c r="A217" s="5">
        <v>45615.0</v>
      </c>
      <c r="B217" s="6" t="s">
        <v>73</v>
      </c>
      <c r="C217" s="6" t="s">
        <v>56</v>
      </c>
      <c r="D217" s="7">
        <v>6.0</v>
      </c>
      <c r="E217" s="6" t="s">
        <v>57</v>
      </c>
      <c r="F217" s="7">
        <v>94.0</v>
      </c>
      <c r="G217" s="8">
        <v>40000.0</v>
      </c>
      <c r="H217" s="8">
        <f t="shared" si="1"/>
        <v>3760000</v>
      </c>
      <c r="I217" s="6" t="s">
        <v>74</v>
      </c>
    </row>
    <row r="218" ht="15.0" customHeight="1">
      <c r="A218" s="9">
        <v>45617.0</v>
      </c>
      <c r="B218" s="10" t="s">
        <v>76</v>
      </c>
      <c r="C218" s="10" t="s">
        <v>81</v>
      </c>
      <c r="D218" s="11">
        <v>7.0</v>
      </c>
      <c r="E218" s="10" t="s">
        <v>16</v>
      </c>
      <c r="F218" s="11">
        <v>19.0</v>
      </c>
      <c r="G218" s="12">
        <v>39000.0</v>
      </c>
      <c r="H218" s="12">
        <f t="shared" si="1"/>
        <v>741000</v>
      </c>
      <c r="I218" s="10" t="s">
        <v>78</v>
      </c>
    </row>
    <row r="219" ht="15.0" customHeight="1">
      <c r="A219" s="5">
        <v>45618.0</v>
      </c>
      <c r="B219" s="6" t="s">
        <v>44</v>
      </c>
      <c r="C219" s="6" t="s">
        <v>39</v>
      </c>
      <c r="D219" s="7">
        <v>5.0</v>
      </c>
      <c r="E219" s="6" t="s">
        <v>20</v>
      </c>
      <c r="F219" s="7">
        <v>12.0</v>
      </c>
      <c r="G219" s="8">
        <v>8000.0</v>
      </c>
      <c r="H219" s="8">
        <f t="shared" si="1"/>
        <v>96000</v>
      </c>
      <c r="I219" s="6" t="s">
        <v>46</v>
      </c>
    </row>
    <row r="220" ht="15.0" customHeight="1">
      <c r="A220" s="9">
        <v>45620.0</v>
      </c>
      <c r="B220" s="10" t="s">
        <v>55</v>
      </c>
      <c r="C220" s="10" t="s">
        <v>90</v>
      </c>
      <c r="D220" s="11">
        <v>2.0</v>
      </c>
      <c r="E220" s="10" t="s">
        <v>27</v>
      </c>
      <c r="F220" s="11">
        <v>24.0</v>
      </c>
      <c r="G220" s="12">
        <v>88000.0</v>
      </c>
      <c r="H220" s="12">
        <f t="shared" si="1"/>
        <v>2112000</v>
      </c>
      <c r="I220" s="10" t="s">
        <v>58</v>
      </c>
    </row>
    <row r="221" ht="15.0" customHeight="1">
      <c r="A221" s="5">
        <v>45622.0</v>
      </c>
      <c r="B221" s="6" t="s">
        <v>64</v>
      </c>
      <c r="C221" s="6" t="s">
        <v>88</v>
      </c>
      <c r="D221" s="7">
        <v>4.0</v>
      </c>
      <c r="E221" s="6" t="s">
        <v>12</v>
      </c>
      <c r="F221" s="7">
        <v>98.0</v>
      </c>
      <c r="G221" s="8">
        <v>57000.0</v>
      </c>
      <c r="H221" s="8">
        <f t="shared" si="1"/>
        <v>5586000</v>
      </c>
      <c r="I221" s="6" t="s">
        <v>65</v>
      </c>
    </row>
    <row r="222" ht="15.0" customHeight="1">
      <c r="A222" s="9">
        <v>45628.0</v>
      </c>
      <c r="B222" s="10" t="s">
        <v>67</v>
      </c>
      <c r="C222" s="10" t="s">
        <v>68</v>
      </c>
      <c r="D222" s="11">
        <v>6.0</v>
      </c>
      <c r="E222" s="10" t="s">
        <v>57</v>
      </c>
      <c r="F222" s="11">
        <v>44.0</v>
      </c>
      <c r="G222" s="12">
        <v>444000.0</v>
      </c>
      <c r="H222" s="12">
        <f t="shared" si="1"/>
        <v>19536000</v>
      </c>
      <c r="I222" s="10" t="s">
        <v>69</v>
      </c>
    </row>
    <row r="223" ht="15.0" customHeight="1">
      <c r="A223" s="5">
        <v>45629.0</v>
      </c>
      <c r="B223" s="6" t="s">
        <v>22</v>
      </c>
      <c r="C223" s="6" t="s">
        <v>72</v>
      </c>
      <c r="D223" s="7">
        <v>4.0</v>
      </c>
      <c r="E223" s="6" t="s">
        <v>12</v>
      </c>
      <c r="F223" s="7">
        <v>8.0</v>
      </c>
      <c r="G223" s="8">
        <v>57000.0</v>
      </c>
      <c r="H223" s="8">
        <f t="shared" si="1"/>
        <v>456000</v>
      </c>
      <c r="I223" s="6" t="s">
        <v>24</v>
      </c>
    </row>
    <row r="224" ht="15.0" customHeight="1">
      <c r="A224" s="9">
        <v>45630.0</v>
      </c>
      <c r="B224" s="10" t="s">
        <v>22</v>
      </c>
      <c r="C224" s="10" t="s">
        <v>11</v>
      </c>
      <c r="D224" s="11">
        <v>4.0</v>
      </c>
      <c r="E224" s="10" t="s">
        <v>12</v>
      </c>
      <c r="F224" s="11">
        <v>19.0</v>
      </c>
      <c r="G224" s="12">
        <v>75000.0</v>
      </c>
      <c r="H224" s="12">
        <f t="shared" si="1"/>
        <v>1425000</v>
      </c>
      <c r="I224" s="10" t="s">
        <v>24</v>
      </c>
    </row>
    <row r="225" ht="15.0" customHeight="1">
      <c r="A225" s="5">
        <v>45631.0</v>
      </c>
      <c r="B225" s="6" t="s">
        <v>64</v>
      </c>
      <c r="C225" s="6" t="s">
        <v>88</v>
      </c>
      <c r="D225" s="7">
        <v>4.0</v>
      </c>
      <c r="E225" s="6" t="s">
        <v>12</v>
      </c>
      <c r="F225" s="7">
        <v>22.0</v>
      </c>
      <c r="G225" s="8">
        <v>59000.0</v>
      </c>
      <c r="H225" s="8">
        <f t="shared" si="1"/>
        <v>1298000</v>
      </c>
      <c r="I225" s="6" t="s">
        <v>65</v>
      </c>
    </row>
    <row r="226" ht="15.0" customHeight="1">
      <c r="A226" s="9">
        <v>45631.0</v>
      </c>
      <c r="B226" s="10" t="s">
        <v>18</v>
      </c>
      <c r="C226" s="10" t="s">
        <v>39</v>
      </c>
      <c r="D226" s="11">
        <v>5.0</v>
      </c>
      <c r="E226" s="10" t="s">
        <v>20</v>
      </c>
      <c r="F226" s="11">
        <v>8.0</v>
      </c>
      <c r="G226" s="12">
        <v>8000.0</v>
      </c>
      <c r="H226" s="12">
        <f t="shared" si="1"/>
        <v>64000</v>
      </c>
      <c r="I226" s="10" t="s">
        <v>21</v>
      </c>
    </row>
    <row r="227" ht="15.0" customHeight="1">
      <c r="A227" s="5">
        <v>45631.0</v>
      </c>
      <c r="B227" s="6" t="s">
        <v>55</v>
      </c>
      <c r="C227" s="6" t="s">
        <v>68</v>
      </c>
      <c r="D227" s="7">
        <v>6.0</v>
      </c>
      <c r="E227" s="6" t="s">
        <v>57</v>
      </c>
      <c r="F227" s="7">
        <v>33.0</v>
      </c>
      <c r="G227" s="8">
        <v>443000.0</v>
      </c>
      <c r="H227" s="8">
        <f t="shared" si="1"/>
        <v>14619000</v>
      </c>
      <c r="I227" s="6" t="s">
        <v>58</v>
      </c>
    </row>
    <row r="228" ht="15.0" customHeight="1">
      <c r="A228" s="9">
        <v>45633.0</v>
      </c>
      <c r="B228" s="10" t="s">
        <v>22</v>
      </c>
      <c r="C228" s="10" t="s">
        <v>88</v>
      </c>
      <c r="D228" s="11">
        <v>4.0</v>
      </c>
      <c r="E228" s="10" t="s">
        <v>12</v>
      </c>
      <c r="F228" s="11">
        <v>43.0</v>
      </c>
      <c r="G228" s="12">
        <v>49000.0</v>
      </c>
      <c r="H228" s="12">
        <f t="shared" si="1"/>
        <v>2107000</v>
      </c>
      <c r="I228" s="10" t="s">
        <v>24</v>
      </c>
    </row>
    <row r="229" ht="15.0" customHeight="1">
      <c r="A229" s="5">
        <v>45634.0</v>
      </c>
      <c r="B229" s="6" t="s">
        <v>55</v>
      </c>
      <c r="C229" s="6" t="s">
        <v>79</v>
      </c>
      <c r="D229" s="7">
        <v>6.0</v>
      </c>
      <c r="E229" s="6" t="s">
        <v>57</v>
      </c>
      <c r="F229" s="7">
        <v>45.0</v>
      </c>
      <c r="G229" s="8">
        <v>374000.0</v>
      </c>
      <c r="H229" s="8">
        <f t="shared" si="1"/>
        <v>16830000</v>
      </c>
      <c r="I229" s="6" t="s">
        <v>58</v>
      </c>
    </row>
    <row r="230" ht="15.0" customHeight="1">
      <c r="A230" s="9">
        <v>45634.0</v>
      </c>
      <c r="B230" s="10" t="s">
        <v>10</v>
      </c>
      <c r="C230" s="10" t="s">
        <v>81</v>
      </c>
      <c r="D230" s="11">
        <v>7.0</v>
      </c>
      <c r="E230" s="10" t="s">
        <v>16</v>
      </c>
      <c r="F230" s="11">
        <v>87.0</v>
      </c>
      <c r="G230" s="12">
        <v>38000.0</v>
      </c>
      <c r="H230" s="12">
        <f t="shared" si="1"/>
        <v>3306000</v>
      </c>
      <c r="I230" s="10" t="s">
        <v>13</v>
      </c>
    </row>
    <row r="231" ht="15.0" customHeight="1">
      <c r="A231" s="5">
        <v>45637.0</v>
      </c>
      <c r="B231" s="6" t="s">
        <v>53</v>
      </c>
      <c r="C231" s="6" t="s">
        <v>39</v>
      </c>
      <c r="D231" s="7">
        <v>5.0</v>
      </c>
      <c r="E231" s="6" t="s">
        <v>20</v>
      </c>
      <c r="F231" s="7">
        <v>29.0</v>
      </c>
      <c r="G231" s="8">
        <v>24000.0</v>
      </c>
      <c r="H231" s="8">
        <f t="shared" si="1"/>
        <v>696000</v>
      </c>
      <c r="I231" s="6" t="s">
        <v>54</v>
      </c>
    </row>
    <row r="232" ht="15.0" customHeight="1">
      <c r="A232" s="9">
        <v>45638.0</v>
      </c>
      <c r="B232" s="10" t="s">
        <v>73</v>
      </c>
      <c r="C232" s="10" t="s">
        <v>90</v>
      </c>
      <c r="D232" s="11">
        <v>2.0</v>
      </c>
      <c r="E232" s="10" t="s">
        <v>27</v>
      </c>
      <c r="F232" s="11">
        <v>3.0</v>
      </c>
      <c r="G232" s="12">
        <v>97000.0</v>
      </c>
      <c r="H232" s="12">
        <f t="shared" si="1"/>
        <v>291000</v>
      </c>
      <c r="I232" s="10" t="s">
        <v>74</v>
      </c>
    </row>
    <row r="233" ht="15.0" customHeight="1">
      <c r="A233" s="5">
        <v>45638.0</v>
      </c>
      <c r="B233" s="6" t="s">
        <v>29</v>
      </c>
      <c r="C233" s="6" t="s">
        <v>85</v>
      </c>
      <c r="D233" s="7">
        <v>4.0</v>
      </c>
      <c r="E233" s="6" t="s">
        <v>12</v>
      </c>
      <c r="F233" s="7">
        <v>25.0</v>
      </c>
      <c r="G233" s="8">
        <v>69000.0</v>
      </c>
      <c r="H233" s="8">
        <f t="shared" si="1"/>
        <v>1725000</v>
      </c>
      <c r="I233" s="6" t="s">
        <v>32</v>
      </c>
    </row>
    <row r="234" ht="15.0" customHeight="1">
      <c r="A234" s="9">
        <v>45639.0</v>
      </c>
      <c r="B234" s="10" t="s">
        <v>25</v>
      </c>
      <c r="C234" s="10" t="s">
        <v>90</v>
      </c>
      <c r="D234" s="11">
        <v>2.0</v>
      </c>
      <c r="E234" s="10" t="s">
        <v>27</v>
      </c>
      <c r="F234" s="11">
        <v>40.0</v>
      </c>
      <c r="G234" s="12">
        <v>77000.0</v>
      </c>
      <c r="H234" s="12">
        <f t="shared" si="1"/>
        <v>3080000</v>
      </c>
      <c r="I234" s="10" t="s">
        <v>28</v>
      </c>
    </row>
    <row r="235" ht="15.0" customHeight="1">
      <c r="A235" s="5">
        <v>45640.0</v>
      </c>
      <c r="B235" s="6" t="s">
        <v>51</v>
      </c>
      <c r="C235" s="6" t="s">
        <v>86</v>
      </c>
      <c r="D235" s="7">
        <v>2.0</v>
      </c>
      <c r="E235" s="6" t="s">
        <v>27</v>
      </c>
      <c r="F235" s="7">
        <v>9.0</v>
      </c>
      <c r="G235" s="8">
        <v>134000.0</v>
      </c>
      <c r="H235" s="8">
        <f t="shared" si="1"/>
        <v>1206000</v>
      </c>
      <c r="I235" s="6" t="s">
        <v>52</v>
      </c>
    </row>
    <row r="236" ht="15.0" customHeight="1">
      <c r="A236" s="9">
        <v>45642.0</v>
      </c>
      <c r="B236" s="10" t="s">
        <v>73</v>
      </c>
      <c r="C236" s="10" t="s">
        <v>87</v>
      </c>
      <c r="D236" s="11">
        <v>5.0</v>
      </c>
      <c r="E236" s="10" t="s">
        <v>20</v>
      </c>
      <c r="F236" s="11">
        <v>37.0</v>
      </c>
      <c r="G236" s="12">
        <v>21000.0</v>
      </c>
      <c r="H236" s="12">
        <f t="shared" si="1"/>
        <v>777000</v>
      </c>
      <c r="I236" s="10" t="s">
        <v>74</v>
      </c>
    </row>
    <row r="237" ht="15.0" customHeight="1">
      <c r="A237" s="5">
        <v>45642.0</v>
      </c>
      <c r="B237" s="6" t="s">
        <v>47</v>
      </c>
      <c r="C237" s="6" t="s">
        <v>48</v>
      </c>
      <c r="D237" s="7">
        <v>2.0</v>
      </c>
      <c r="E237" s="6" t="s">
        <v>27</v>
      </c>
      <c r="F237" s="7">
        <v>43.0</v>
      </c>
      <c r="G237" s="8">
        <v>101000.0</v>
      </c>
      <c r="H237" s="8">
        <f t="shared" si="1"/>
        <v>4343000</v>
      </c>
      <c r="I237" s="6" t="s">
        <v>49</v>
      </c>
    </row>
    <row r="238" ht="15.0" customHeight="1">
      <c r="A238" s="9">
        <v>45644.0</v>
      </c>
      <c r="B238" s="10" t="s">
        <v>70</v>
      </c>
      <c r="C238" s="10" t="s">
        <v>23</v>
      </c>
      <c r="D238" s="11">
        <v>4.0</v>
      </c>
      <c r="E238" s="10" t="s">
        <v>12</v>
      </c>
      <c r="F238" s="11">
        <v>42.0</v>
      </c>
      <c r="G238" s="12">
        <v>98000.0</v>
      </c>
      <c r="H238" s="12">
        <f t="shared" si="1"/>
        <v>4116000</v>
      </c>
      <c r="I238" s="10" t="s">
        <v>71</v>
      </c>
    </row>
    <row r="239" ht="15.0" customHeight="1">
      <c r="A239" s="5">
        <v>45644.0</v>
      </c>
      <c r="B239" s="6" t="s">
        <v>70</v>
      </c>
      <c r="C239" s="6" t="s">
        <v>72</v>
      </c>
      <c r="D239" s="7">
        <v>4.0</v>
      </c>
      <c r="E239" s="6" t="s">
        <v>12</v>
      </c>
      <c r="F239" s="7">
        <v>34.0</v>
      </c>
      <c r="G239" s="8">
        <v>70000.0</v>
      </c>
      <c r="H239" s="8">
        <f t="shared" si="1"/>
        <v>2380000</v>
      </c>
      <c r="I239" s="6" t="s">
        <v>71</v>
      </c>
    </row>
    <row r="240" ht="15.0" customHeight="1">
      <c r="A240" s="9">
        <v>45646.0</v>
      </c>
      <c r="B240" s="10" t="s">
        <v>36</v>
      </c>
      <c r="C240" s="10" t="s">
        <v>50</v>
      </c>
      <c r="D240" s="11">
        <v>3.0</v>
      </c>
      <c r="E240" s="10" t="s">
        <v>31</v>
      </c>
      <c r="F240" s="11">
        <v>46.0</v>
      </c>
      <c r="G240" s="12">
        <v>73000.0</v>
      </c>
      <c r="H240" s="12">
        <f t="shared" si="1"/>
        <v>3358000</v>
      </c>
      <c r="I240" s="10" t="s">
        <v>38</v>
      </c>
    </row>
    <row r="241" ht="15.0" customHeight="1">
      <c r="A241" s="5">
        <v>45647.0</v>
      </c>
      <c r="B241" s="6" t="s">
        <v>44</v>
      </c>
      <c r="C241" s="6" t="s">
        <v>87</v>
      </c>
      <c r="D241" s="7">
        <v>5.0</v>
      </c>
      <c r="E241" s="6" t="s">
        <v>20</v>
      </c>
      <c r="F241" s="7">
        <v>19.0</v>
      </c>
      <c r="G241" s="8">
        <v>31000.0</v>
      </c>
      <c r="H241" s="8">
        <f t="shared" si="1"/>
        <v>589000</v>
      </c>
      <c r="I241" s="6" t="s">
        <v>46</v>
      </c>
    </row>
    <row r="242" ht="15.0" customHeight="1">
      <c r="A242" s="9">
        <v>45648.0</v>
      </c>
      <c r="B242" s="10" t="s">
        <v>47</v>
      </c>
      <c r="C242" s="10" t="s">
        <v>86</v>
      </c>
      <c r="D242" s="11">
        <v>2.0</v>
      </c>
      <c r="E242" s="10" t="s">
        <v>27</v>
      </c>
      <c r="F242" s="11">
        <v>48.0</v>
      </c>
      <c r="G242" s="12">
        <v>139000.0</v>
      </c>
      <c r="H242" s="12">
        <f t="shared" si="1"/>
        <v>6672000</v>
      </c>
      <c r="I242" s="10" t="s">
        <v>49</v>
      </c>
    </row>
    <row r="243" ht="15.0" customHeight="1">
      <c r="A243" s="5">
        <v>45649.0</v>
      </c>
      <c r="B243" s="6" t="s">
        <v>51</v>
      </c>
      <c r="C243" s="6" t="s">
        <v>26</v>
      </c>
      <c r="D243" s="7">
        <v>2.0</v>
      </c>
      <c r="E243" s="6" t="s">
        <v>27</v>
      </c>
      <c r="F243" s="7">
        <v>13.0</v>
      </c>
      <c r="G243" s="8">
        <v>48000.0</v>
      </c>
      <c r="H243" s="8">
        <f t="shared" si="1"/>
        <v>624000</v>
      </c>
      <c r="I243" s="6" t="s">
        <v>52</v>
      </c>
    </row>
    <row r="244" ht="15.0" customHeight="1">
      <c r="A244" s="9">
        <v>45649.0</v>
      </c>
      <c r="B244" s="10" t="s">
        <v>36</v>
      </c>
      <c r="C244" s="10" t="s">
        <v>37</v>
      </c>
      <c r="D244" s="11">
        <v>3.0</v>
      </c>
      <c r="E244" s="10" t="s">
        <v>31</v>
      </c>
      <c r="F244" s="11">
        <v>37.0</v>
      </c>
      <c r="G244" s="12">
        <v>417000.0</v>
      </c>
      <c r="H244" s="12">
        <f t="shared" si="1"/>
        <v>15429000</v>
      </c>
      <c r="I244" s="10" t="s">
        <v>38</v>
      </c>
    </row>
    <row r="245" ht="15.0" customHeight="1">
      <c r="A245" s="5">
        <v>45652.0</v>
      </c>
      <c r="B245" s="6" t="s">
        <v>53</v>
      </c>
      <c r="C245" s="6" t="s">
        <v>19</v>
      </c>
      <c r="D245" s="7">
        <v>5.0</v>
      </c>
      <c r="E245" s="6" t="s">
        <v>20</v>
      </c>
      <c r="F245" s="7">
        <v>36.0</v>
      </c>
      <c r="G245" s="8">
        <v>17000.0</v>
      </c>
      <c r="H245" s="8">
        <f t="shared" si="1"/>
        <v>612000</v>
      </c>
      <c r="I245" s="6" t="s">
        <v>54</v>
      </c>
    </row>
    <row r="246" ht="15.0" customHeight="1">
      <c r="A246" s="9">
        <v>45654.0</v>
      </c>
      <c r="B246" s="10" t="s">
        <v>73</v>
      </c>
      <c r="C246" s="10" t="s">
        <v>41</v>
      </c>
      <c r="D246" s="11">
        <v>1.0</v>
      </c>
      <c r="E246" s="10" t="s">
        <v>34</v>
      </c>
      <c r="F246" s="11">
        <v>6.0</v>
      </c>
      <c r="G246" s="12">
        <v>477000.0</v>
      </c>
      <c r="H246" s="12">
        <f t="shared" si="1"/>
        <v>2862000</v>
      </c>
      <c r="I246" s="10" t="s">
        <v>74</v>
      </c>
    </row>
    <row r="247" ht="15.75" customHeight="1">
      <c r="A247" s="13" t="s">
        <v>92</v>
      </c>
      <c r="F247" s="14">
        <f t="shared" ref="F247:H247" si="2">SUM(F3:F246)</f>
        <v>6876</v>
      </c>
      <c r="G247" s="14">
        <f t="shared" si="2"/>
        <v>28736000</v>
      </c>
      <c r="H247" s="14">
        <f t="shared" si="2"/>
        <v>823917000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4.0"/>
    <col customWidth="1" min="9" max="9" width="16.0"/>
    <col customWidth="1" min="10" max="26" width="8.71"/>
  </cols>
  <sheetData>
    <row r="1" ht="25.5" customHeight="1">
      <c r="A1" s="15" t="s">
        <v>93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16" t="s">
        <v>94</v>
      </c>
    </row>
    <row r="3" ht="18.0" customHeight="1">
      <c r="A3" s="17" t="s">
        <v>2</v>
      </c>
      <c r="B3" s="4" t="s">
        <v>20</v>
      </c>
      <c r="C3" s="4" t="s">
        <v>31</v>
      </c>
      <c r="D3" s="4" t="s">
        <v>34</v>
      </c>
      <c r="E3" s="4" t="s">
        <v>27</v>
      </c>
      <c r="F3" s="4" t="s">
        <v>16</v>
      </c>
      <c r="G3" s="4" t="s">
        <v>12</v>
      </c>
      <c r="H3" s="4" t="s">
        <v>57</v>
      </c>
      <c r="I3" s="18" t="s">
        <v>95</v>
      </c>
    </row>
    <row r="4" ht="15.0" customHeight="1">
      <c r="A4" s="19" t="s">
        <v>64</v>
      </c>
      <c r="B4" s="8"/>
      <c r="C4" s="8"/>
      <c r="D4" s="8"/>
      <c r="E4" s="8"/>
      <c r="F4" s="8">
        <v>6642000.0</v>
      </c>
      <c r="G4" s="8">
        <v>2.0658E7</v>
      </c>
      <c r="H4" s="8"/>
      <c r="I4" s="20">
        <v>2.73E7</v>
      </c>
    </row>
    <row r="5" ht="15.0" customHeight="1">
      <c r="A5" s="21" t="s">
        <v>18</v>
      </c>
      <c r="B5" s="12">
        <v>6148000.0</v>
      </c>
      <c r="C5" s="12"/>
      <c r="D5" s="12">
        <v>8554000.0</v>
      </c>
      <c r="E5" s="12"/>
      <c r="F5" s="12"/>
      <c r="G5" s="12"/>
      <c r="H5" s="12">
        <v>1.8144E7</v>
      </c>
      <c r="I5" s="20">
        <v>3.2846E7</v>
      </c>
    </row>
    <row r="6" ht="15.0" customHeight="1">
      <c r="A6" s="19" t="s">
        <v>59</v>
      </c>
      <c r="B6" s="8"/>
      <c r="C6" s="8">
        <v>3266000.0</v>
      </c>
      <c r="D6" s="8"/>
      <c r="E6" s="8"/>
      <c r="F6" s="8"/>
      <c r="G6" s="8"/>
      <c r="H6" s="8">
        <v>3.3934E7</v>
      </c>
      <c r="I6" s="20">
        <v>3.72E7</v>
      </c>
    </row>
    <row r="7" ht="15.0" customHeight="1">
      <c r="A7" s="21" t="s">
        <v>29</v>
      </c>
      <c r="B7" s="12">
        <v>4745000.0</v>
      </c>
      <c r="C7" s="12">
        <v>2016000.0</v>
      </c>
      <c r="D7" s="12"/>
      <c r="E7" s="12"/>
      <c r="F7" s="12"/>
      <c r="G7" s="12">
        <v>1725000.0</v>
      </c>
      <c r="H7" s="12"/>
      <c r="I7" s="20">
        <v>8486000.0</v>
      </c>
    </row>
    <row r="8" ht="15.0" customHeight="1">
      <c r="A8" s="19" t="s">
        <v>22</v>
      </c>
      <c r="B8" s="8"/>
      <c r="C8" s="8"/>
      <c r="D8" s="8"/>
      <c r="E8" s="8"/>
      <c r="F8" s="8">
        <v>3506000.0</v>
      </c>
      <c r="G8" s="8">
        <v>1.591E7</v>
      </c>
      <c r="H8" s="8">
        <v>2.1312E7</v>
      </c>
      <c r="I8" s="20">
        <v>4.0728E7</v>
      </c>
    </row>
    <row r="9" ht="15.0" customHeight="1">
      <c r="A9" s="21" t="s">
        <v>53</v>
      </c>
      <c r="B9" s="12">
        <v>8353000.0</v>
      </c>
      <c r="C9" s="12">
        <v>5767000.0</v>
      </c>
      <c r="D9" s="12">
        <v>3.18E7</v>
      </c>
      <c r="E9" s="12"/>
      <c r="F9" s="12"/>
      <c r="G9" s="12">
        <v>6930000.0</v>
      </c>
      <c r="H9" s="12"/>
      <c r="I9" s="20">
        <v>5.285E7</v>
      </c>
    </row>
    <row r="10" ht="15.0" customHeight="1">
      <c r="A10" s="19" t="s">
        <v>67</v>
      </c>
      <c r="B10" s="8"/>
      <c r="C10" s="8"/>
      <c r="D10" s="8">
        <v>1.4445E7</v>
      </c>
      <c r="E10" s="8"/>
      <c r="F10" s="8"/>
      <c r="G10" s="8"/>
      <c r="H10" s="8">
        <v>7.6843E7</v>
      </c>
      <c r="I10" s="20">
        <v>9.1288E7</v>
      </c>
    </row>
    <row r="11" ht="15.0" customHeight="1">
      <c r="A11" s="21" t="s">
        <v>51</v>
      </c>
      <c r="B11" s="12"/>
      <c r="C11" s="12"/>
      <c r="D11" s="12"/>
      <c r="E11" s="12">
        <v>1.5366E7</v>
      </c>
      <c r="F11" s="12">
        <v>1932000.0</v>
      </c>
      <c r="G11" s="12"/>
      <c r="H11" s="12"/>
      <c r="I11" s="20">
        <v>1.7298E7</v>
      </c>
    </row>
    <row r="12" ht="15.0" customHeight="1">
      <c r="A12" s="19" t="s">
        <v>73</v>
      </c>
      <c r="B12" s="8">
        <v>4525000.0</v>
      </c>
      <c r="C12" s="8"/>
      <c r="D12" s="8">
        <v>2862000.0</v>
      </c>
      <c r="E12" s="8">
        <v>841000.0</v>
      </c>
      <c r="F12" s="8"/>
      <c r="G12" s="8">
        <v>2232000.0</v>
      </c>
      <c r="H12" s="8">
        <v>3760000.0</v>
      </c>
      <c r="I12" s="20">
        <v>1.422E7</v>
      </c>
    </row>
    <row r="13" ht="15.0" customHeight="1">
      <c r="A13" s="21" t="s">
        <v>47</v>
      </c>
      <c r="B13" s="12">
        <v>1800000.0</v>
      </c>
      <c r="C13" s="12"/>
      <c r="D13" s="12"/>
      <c r="E13" s="12">
        <v>2.1924E7</v>
      </c>
      <c r="F13" s="12"/>
      <c r="G13" s="12"/>
      <c r="H13" s="12"/>
      <c r="I13" s="20">
        <v>2.3724E7</v>
      </c>
    </row>
    <row r="14" ht="15.0" customHeight="1">
      <c r="A14" s="19" t="s">
        <v>14</v>
      </c>
      <c r="B14" s="8"/>
      <c r="C14" s="8">
        <v>5890000.0</v>
      </c>
      <c r="D14" s="8"/>
      <c r="E14" s="8"/>
      <c r="F14" s="8">
        <v>1.0122E7</v>
      </c>
      <c r="G14" s="8"/>
      <c r="H14" s="8"/>
      <c r="I14" s="20">
        <v>1.6012E7</v>
      </c>
    </row>
    <row r="15" ht="15.0" customHeight="1">
      <c r="A15" s="21" t="s">
        <v>70</v>
      </c>
      <c r="B15" s="12"/>
      <c r="C15" s="12"/>
      <c r="D15" s="12"/>
      <c r="E15" s="12"/>
      <c r="F15" s="12"/>
      <c r="G15" s="12">
        <v>1.6385E7</v>
      </c>
      <c r="H15" s="12"/>
      <c r="I15" s="20">
        <v>1.6385E7</v>
      </c>
    </row>
    <row r="16" ht="15.0" customHeight="1">
      <c r="A16" s="19" t="s">
        <v>40</v>
      </c>
      <c r="B16" s="8"/>
      <c r="C16" s="8">
        <v>3046000.0</v>
      </c>
      <c r="D16" s="8">
        <v>6.2298E7</v>
      </c>
      <c r="E16" s="8"/>
      <c r="F16" s="8"/>
      <c r="G16" s="8"/>
      <c r="H16" s="8">
        <v>1950000.0</v>
      </c>
      <c r="I16" s="20">
        <v>6.7294E7</v>
      </c>
    </row>
    <row r="17" ht="15.0" customHeight="1">
      <c r="A17" s="21" t="s">
        <v>62</v>
      </c>
      <c r="B17" s="12"/>
      <c r="C17" s="12">
        <v>5.1518E7</v>
      </c>
      <c r="D17" s="12"/>
      <c r="E17" s="12">
        <v>768000.0</v>
      </c>
      <c r="F17" s="12"/>
      <c r="G17" s="12"/>
      <c r="H17" s="12"/>
      <c r="I17" s="20">
        <v>5.2286E7</v>
      </c>
    </row>
    <row r="18" ht="15.0" customHeight="1">
      <c r="A18" s="19" t="s">
        <v>36</v>
      </c>
      <c r="B18" s="8"/>
      <c r="C18" s="8">
        <v>5.2723E7</v>
      </c>
      <c r="D18" s="8"/>
      <c r="E18" s="8"/>
      <c r="F18" s="8"/>
      <c r="G18" s="8">
        <v>468000.0</v>
      </c>
      <c r="H18" s="8"/>
      <c r="I18" s="20">
        <v>5.3191E7</v>
      </c>
    </row>
    <row r="19" ht="15.0" customHeight="1">
      <c r="A19" s="21" t="s">
        <v>76</v>
      </c>
      <c r="B19" s="12"/>
      <c r="C19" s="12"/>
      <c r="D19" s="12">
        <v>2.754E7</v>
      </c>
      <c r="E19" s="12"/>
      <c r="F19" s="12">
        <v>1.5274E7</v>
      </c>
      <c r="G19" s="12"/>
      <c r="H19" s="12"/>
      <c r="I19" s="20">
        <v>4.2814E7</v>
      </c>
    </row>
    <row r="20" ht="15.0" customHeight="1">
      <c r="A20" s="19" t="s">
        <v>25</v>
      </c>
      <c r="B20" s="8"/>
      <c r="C20" s="8"/>
      <c r="D20" s="8"/>
      <c r="E20" s="8">
        <v>2.25E7</v>
      </c>
      <c r="F20" s="8"/>
      <c r="G20" s="8"/>
      <c r="H20" s="8"/>
      <c r="I20" s="20">
        <v>2.25E7</v>
      </c>
    </row>
    <row r="21" ht="15.0" customHeight="1">
      <c r="A21" s="21" t="s">
        <v>10</v>
      </c>
      <c r="B21" s="12"/>
      <c r="C21" s="12">
        <v>1.7283E7</v>
      </c>
      <c r="D21" s="12">
        <v>6.0636E7</v>
      </c>
      <c r="E21" s="12"/>
      <c r="F21" s="12">
        <v>3306000.0</v>
      </c>
      <c r="G21" s="12">
        <v>1258000.0</v>
      </c>
      <c r="H21" s="12">
        <v>2856000.0</v>
      </c>
      <c r="I21" s="20">
        <v>8.5339E7</v>
      </c>
    </row>
    <row r="22" ht="15.0" customHeight="1">
      <c r="A22" s="19" t="s">
        <v>44</v>
      </c>
      <c r="B22" s="8">
        <v>4147000.0</v>
      </c>
      <c r="C22" s="8">
        <v>6300000.0</v>
      </c>
      <c r="D22" s="8"/>
      <c r="E22" s="8"/>
      <c r="F22" s="8"/>
      <c r="G22" s="8"/>
      <c r="H22" s="8">
        <v>3.6828E7</v>
      </c>
      <c r="I22" s="20">
        <v>4.7275E7</v>
      </c>
    </row>
    <row r="23" ht="15.0" customHeight="1">
      <c r="A23" s="21" t="s">
        <v>55</v>
      </c>
      <c r="B23" s="12"/>
      <c r="C23" s="12"/>
      <c r="D23" s="12"/>
      <c r="E23" s="12">
        <v>2112000.0</v>
      </c>
      <c r="F23" s="12"/>
      <c r="G23" s="12"/>
      <c r="H23" s="12">
        <v>7.2769E7</v>
      </c>
      <c r="I23" s="20">
        <v>7.4881E7</v>
      </c>
    </row>
    <row r="24" ht="15.75" customHeight="1">
      <c r="A24" s="22" t="s">
        <v>95</v>
      </c>
      <c r="B24" s="23">
        <v>2.9718E7</v>
      </c>
      <c r="C24" s="23">
        <v>1.47809E8</v>
      </c>
      <c r="D24" s="23">
        <v>2.08135E8</v>
      </c>
      <c r="E24" s="23">
        <v>6.3511E7</v>
      </c>
      <c r="F24" s="23">
        <v>4.0782E7</v>
      </c>
      <c r="G24" s="23">
        <v>6.5566E7</v>
      </c>
      <c r="H24" s="23">
        <v>2.68396E8</v>
      </c>
      <c r="I24" s="24">
        <v>8.23917E8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4.0"/>
    <col customWidth="1" min="10" max="26" width="8.71"/>
  </cols>
  <sheetData>
    <row r="1" ht="25.5" customHeight="1">
      <c r="A1" s="15" t="s">
        <v>96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7" t="s">
        <v>97</v>
      </c>
      <c r="B2" s="4" t="s">
        <v>20</v>
      </c>
      <c r="C2" s="4" t="s">
        <v>31</v>
      </c>
      <c r="D2" s="4" t="s">
        <v>34</v>
      </c>
      <c r="E2" s="4" t="s">
        <v>27</v>
      </c>
      <c r="F2" s="4" t="s">
        <v>16</v>
      </c>
      <c r="G2" s="4" t="s">
        <v>12</v>
      </c>
      <c r="H2" s="4" t="s">
        <v>57</v>
      </c>
      <c r="I2" s="18" t="s">
        <v>95</v>
      </c>
    </row>
    <row r="3" ht="15.0" customHeight="1">
      <c r="A3" s="19" t="s">
        <v>98</v>
      </c>
      <c r="B3" s="8">
        <v>3353000.0</v>
      </c>
      <c r="C3" s="8">
        <v>1.3293E7</v>
      </c>
      <c r="D3" s="8">
        <v>7.3296E7</v>
      </c>
      <c r="E3" s="8">
        <v>6561000.0</v>
      </c>
      <c r="F3" s="8">
        <v>2496000.0</v>
      </c>
      <c r="G3" s="8">
        <v>2597000.0</v>
      </c>
      <c r="H3" s="8"/>
      <c r="I3" s="20">
        <v>1.01596E8</v>
      </c>
    </row>
    <row r="4" ht="15.0" customHeight="1">
      <c r="A4" s="21" t="s">
        <v>99</v>
      </c>
      <c r="B4" s="12">
        <v>1837000.0</v>
      </c>
      <c r="C4" s="12">
        <v>5194000.0</v>
      </c>
      <c r="D4" s="12"/>
      <c r="E4" s="12">
        <v>2042000.0</v>
      </c>
      <c r="F4" s="12"/>
      <c r="G4" s="12">
        <v>7750000.0</v>
      </c>
      <c r="H4" s="12">
        <v>3.5725E7</v>
      </c>
      <c r="I4" s="20">
        <v>5.2548E7</v>
      </c>
    </row>
    <row r="5" ht="15.0" customHeight="1">
      <c r="A5" s="19" t="s">
        <v>100</v>
      </c>
      <c r="B5" s="8">
        <v>2525000.0</v>
      </c>
      <c r="C5" s="8">
        <v>1.0929E7</v>
      </c>
      <c r="D5" s="8">
        <v>2.754E7</v>
      </c>
      <c r="E5" s="8">
        <v>1209000.0</v>
      </c>
      <c r="F5" s="8">
        <v>4911000.0</v>
      </c>
      <c r="G5" s="8">
        <v>780000.0</v>
      </c>
      <c r="H5" s="8">
        <v>5.6171E7</v>
      </c>
      <c r="I5" s="20">
        <v>1.04065E8</v>
      </c>
    </row>
    <row r="6" ht="15.0" customHeight="1">
      <c r="A6" s="21" t="s">
        <v>101</v>
      </c>
      <c r="B6" s="12">
        <v>3106000.0</v>
      </c>
      <c r="C6" s="12">
        <v>1.5793E7</v>
      </c>
      <c r="D6" s="12">
        <v>1.4928E7</v>
      </c>
      <c r="E6" s="12">
        <v>1.3551E7</v>
      </c>
      <c r="F6" s="12">
        <v>3811000.0</v>
      </c>
      <c r="G6" s="12">
        <v>2977000.0</v>
      </c>
      <c r="H6" s="12"/>
      <c r="I6" s="20">
        <v>5.4166E7</v>
      </c>
    </row>
    <row r="7" ht="15.0" customHeight="1">
      <c r="A7" s="19" t="s">
        <v>102</v>
      </c>
      <c r="B7" s="8">
        <v>602000.0</v>
      </c>
      <c r="C7" s="8">
        <v>2.4451E7</v>
      </c>
      <c r="D7" s="8">
        <v>2120000.0</v>
      </c>
      <c r="E7" s="8">
        <v>8506000.0</v>
      </c>
      <c r="F7" s="8">
        <v>1935000.0</v>
      </c>
      <c r="G7" s="8">
        <v>3395000.0</v>
      </c>
      <c r="H7" s="8">
        <v>9648000.0</v>
      </c>
      <c r="I7" s="20">
        <v>5.0657E7</v>
      </c>
    </row>
    <row r="8" ht="15.0" customHeight="1">
      <c r="A8" s="21" t="s">
        <v>103</v>
      </c>
      <c r="B8" s="12">
        <v>3603000.0</v>
      </c>
      <c r="C8" s="12">
        <v>1.786E7</v>
      </c>
      <c r="D8" s="12"/>
      <c r="E8" s="12">
        <v>6105000.0</v>
      </c>
      <c r="F8" s="12">
        <v>6642000.0</v>
      </c>
      <c r="G8" s="12">
        <v>4302000.0</v>
      </c>
      <c r="H8" s="12">
        <v>2.3091E7</v>
      </c>
      <c r="I8" s="20">
        <v>6.1603E7</v>
      </c>
    </row>
    <row r="9" ht="15.0" customHeight="1">
      <c r="A9" s="19" t="s">
        <v>104</v>
      </c>
      <c r="B9" s="8">
        <v>1277000.0</v>
      </c>
      <c r="C9" s="8">
        <v>1.0511E7</v>
      </c>
      <c r="D9" s="8">
        <v>4.9146E7</v>
      </c>
      <c r="E9" s="8">
        <v>4398000.0</v>
      </c>
      <c r="F9" s="8">
        <v>3055000.0</v>
      </c>
      <c r="G9" s="8">
        <v>7437000.0</v>
      </c>
      <c r="H9" s="8">
        <v>2.1252E7</v>
      </c>
      <c r="I9" s="20">
        <v>9.7076E7</v>
      </c>
    </row>
    <row r="10" ht="15.0" customHeight="1">
      <c r="A10" s="21" t="s">
        <v>105</v>
      </c>
      <c r="B10" s="12">
        <v>3396000.0</v>
      </c>
      <c r="C10" s="12">
        <v>6451000.0</v>
      </c>
      <c r="D10" s="12"/>
      <c r="E10" s="12">
        <v>226000.0</v>
      </c>
      <c r="F10" s="12">
        <v>7224000.0</v>
      </c>
      <c r="G10" s="12">
        <v>2051000.0</v>
      </c>
      <c r="H10" s="12">
        <v>5952000.0</v>
      </c>
      <c r="I10" s="20">
        <v>2.53E7</v>
      </c>
    </row>
    <row r="11" ht="15.0" customHeight="1">
      <c r="A11" s="19" t="s">
        <v>106</v>
      </c>
      <c r="B11" s="8">
        <v>565000.0</v>
      </c>
      <c r="C11" s="8">
        <v>1.0266E7</v>
      </c>
      <c r="D11" s="8"/>
      <c r="E11" s="8">
        <v>1035000.0</v>
      </c>
      <c r="F11" s="8">
        <v>3056000.0</v>
      </c>
      <c r="G11" s="8">
        <v>9602000.0</v>
      </c>
      <c r="H11" s="8">
        <v>3.8492E7</v>
      </c>
      <c r="I11" s="20">
        <v>6.3016E7</v>
      </c>
    </row>
    <row r="12" ht="15.0" customHeight="1">
      <c r="A12" s="21" t="s">
        <v>107</v>
      </c>
      <c r="B12" s="12">
        <v>3951000.0</v>
      </c>
      <c r="C12" s="12">
        <v>4884000.0</v>
      </c>
      <c r="D12" s="12">
        <v>3.6929E7</v>
      </c>
      <c r="E12" s="12">
        <v>630000.0</v>
      </c>
      <c r="F12" s="12">
        <v>877000.0</v>
      </c>
      <c r="G12" s="12">
        <v>2006000.0</v>
      </c>
      <c r="H12" s="12">
        <v>2.0464E7</v>
      </c>
      <c r="I12" s="20">
        <v>6.9741E7</v>
      </c>
    </row>
    <row r="13" ht="15.0" customHeight="1">
      <c r="A13" s="19" t="s">
        <v>108</v>
      </c>
      <c r="B13" s="8">
        <v>2765000.0</v>
      </c>
      <c r="C13" s="8">
        <v>9390000.0</v>
      </c>
      <c r="D13" s="8">
        <v>1314000.0</v>
      </c>
      <c r="E13" s="8">
        <v>3032000.0</v>
      </c>
      <c r="F13" s="8">
        <v>3469000.0</v>
      </c>
      <c r="G13" s="8">
        <v>9162000.0</v>
      </c>
      <c r="H13" s="8">
        <v>6616000.0</v>
      </c>
      <c r="I13" s="20">
        <v>3.5748E7</v>
      </c>
    </row>
    <row r="14" ht="15.0" customHeight="1">
      <c r="A14" s="21" t="s">
        <v>109</v>
      </c>
      <c r="B14" s="12">
        <v>2738000.0</v>
      </c>
      <c r="C14" s="12">
        <v>1.8787E7</v>
      </c>
      <c r="D14" s="12">
        <v>2862000.0</v>
      </c>
      <c r="E14" s="12">
        <v>1.6216E7</v>
      </c>
      <c r="F14" s="12">
        <v>3306000.0</v>
      </c>
      <c r="G14" s="12">
        <v>1.3507E7</v>
      </c>
      <c r="H14" s="12">
        <v>5.0985E7</v>
      </c>
      <c r="I14" s="20">
        <v>1.08401E8</v>
      </c>
    </row>
    <row r="15">
      <c r="A15" s="25" t="s">
        <v>95</v>
      </c>
      <c r="B15" s="23">
        <v>2.9718E7</v>
      </c>
      <c r="C15" s="23">
        <v>1.47809E8</v>
      </c>
      <c r="D15" s="23">
        <v>2.08135E8</v>
      </c>
      <c r="E15" s="23">
        <v>6.3511E7</v>
      </c>
      <c r="F15" s="23">
        <v>4.0782E7</v>
      </c>
      <c r="G15" s="23">
        <v>6.5566E7</v>
      </c>
      <c r="H15" s="23">
        <v>2.68396E8</v>
      </c>
      <c r="I15" s="24">
        <v>8.23917E8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4.0"/>
    <col customWidth="1" min="4" max="5" width="18.0"/>
    <col customWidth="1" min="6" max="26" width="8.71"/>
  </cols>
  <sheetData>
    <row r="1" ht="25.5" customHeight="1">
      <c r="A1" s="15" t="s">
        <v>110</v>
      </c>
      <c r="B1" s="2"/>
      <c r="C1" s="2"/>
      <c r="D1" s="2"/>
      <c r="E1" s="3"/>
    </row>
    <row r="2">
      <c r="A2" s="4" t="s">
        <v>9</v>
      </c>
      <c r="B2" s="4" t="s">
        <v>2</v>
      </c>
      <c r="C2" s="4" t="s">
        <v>111</v>
      </c>
      <c r="D2" s="4" t="s">
        <v>112</v>
      </c>
      <c r="E2" s="4" t="s">
        <v>113</v>
      </c>
    </row>
    <row r="3" ht="15.0" customHeight="1">
      <c r="A3" s="6" t="s">
        <v>69</v>
      </c>
      <c r="B3" s="6" t="s">
        <v>67</v>
      </c>
      <c r="C3" s="7">
        <v>11.0</v>
      </c>
      <c r="D3" s="8">
        <v>9.1288E7</v>
      </c>
      <c r="E3" s="26">
        <v>0.110797568201651</v>
      </c>
    </row>
    <row r="4" ht="15.0" customHeight="1">
      <c r="A4" s="10" t="s">
        <v>13</v>
      </c>
      <c r="B4" s="10" t="s">
        <v>10</v>
      </c>
      <c r="C4" s="11">
        <v>13.0</v>
      </c>
      <c r="D4" s="12">
        <v>8.5339E7</v>
      </c>
      <c r="E4" s="27">
        <v>0.103577180711164</v>
      </c>
    </row>
    <row r="5" ht="15.0" customHeight="1">
      <c r="A5" s="6" t="s">
        <v>58</v>
      </c>
      <c r="B5" s="6" t="s">
        <v>55</v>
      </c>
      <c r="C5" s="7">
        <v>11.0</v>
      </c>
      <c r="D5" s="8">
        <v>7.4881E7</v>
      </c>
      <c r="E5" s="26">
        <v>0.0908841545932418</v>
      </c>
    </row>
    <row r="6" ht="15.0" customHeight="1">
      <c r="A6" s="10" t="s">
        <v>42</v>
      </c>
      <c r="B6" s="10" t="s">
        <v>40</v>
      </c>
      <c r="C6" s="11">
        <v>13.0</v>
      </c>
      <c r="D6" s="12">
        <v>6.7294E7</v>
      </c>
      <c r="E6" s="27">
        <v>0.0816757027710316</v>
      </c>
    </row>
    <row r="7" ht="15.0" customHeight="1">
      <c r="A7" s="6" t="s">
        <v>38</v>
      </c>
      <c r="B7" s="6" t="s">
        <v>36</v>
      </c>
      <c r="C7" s="7">
        <v>13.0</v>
      </c>
      <c r="D7" s="8">
        <v>5.3191E7</v>
      </c>
      <c r="E7" s="26">
        <v>0.0645586873435067</v>
      </c>
    </row>
    <row r="8" ht="15.0" customHeight="1">
      <c r="A8" s="10" t="s">
        <v>54</v>
      </c>
      <c r="B8" s="10" t="s">
        <v>53</v>
      </c>
      <c r="C8" s="11">
        <v>16.0</v>
      </c>
      <c r="D8" s="12">
        <v>5.285E7</v>
      </c>
      <c r="E8" s="27">
        <v>0.0641448107030199</v>
      </c>
    </row>
    <row r="9" ht="15.0" customHeight="1">
      <c r="A9" s="6" t="s">
        <v>63</v>
      </c>
      <c r="B9" s="6" t="s">
        <v>62</v>
      </c>
      <c r="C9" s="7">
        <v>13.0</v>
      </c>
      <c r="D9" s="8">
        <v>5.2286E7</v>
      </c>
      <c r="E9" s="26">
        <v>0.0634602757316574</v>
      </c>
    </row>
    <row r="10" ht="15.0" customHeight="1">
      <c r="A10" s="10" t="s">
        <v>46</v>
      </c>
      <c r="B10" s="10" t="s">
        <v>44</v>
      </c>
      <c r="C10" s="11">
        <v>12.0</v>
      </c>
      <c r="D10" s="12">
        <v>4.7275E7</v>
      </c>
      <c r="E10" s="27">
        <v>0.0573783524311308</v>
      </c>
    </row>
    <row r="11" ht="15.0" customHeight="1">
      <c r="A11" s="6" t="s">
        <v>78</v>
      </c>
      <c r="B11" s="6" t="s">
        <v>76</v>
      </c>
      <c r="C11" s="7">
        <v>13.0</v>
      </c>
      <c r="D11" s="8">
        <v>4.2814E7</v>
      </c>
      <c r="E11" s="26">
        <v>0.0519639720991314</v>
      </c>
    </row>
    <row r="12" ht="15.0" customHeight="1">
      <c r="A12" s="10" t="s">
        <v>24</v>
      </c>
      <c r="B12" s="10" t="s">
        <v>22</v>
      </c>
      <c r="C12" s="11">
        <v>13.0</v>
      </c>
      <c r="D12" s="12">
        <v>4.0728E7</v>
      </c>
      <c r="E12" s="27">
        <v>0.049432163676681</v>
      </c>
    </row>
    <row r="13" ht="15.0" customHeight="1">
      <c r="A13" s="6" t="s">
        <v>61</v>
      </c>
      <c r="B13" s="6" t="s">
        <v>59</v>
      </c>
      <c r="C13" s="7">
        <v>10.0</v>
      </c>
      <c r="D13" s="8">
        <v>3.72E7</v>
      </c>
      <c r="E13" s="26">
        <v>0.0451501789622013</v>
      </c>
    </row>
    <row r="14" ht="15.0" customHeight="1">
      <c r="A14" s="10" t="s">
        <v>21</v>
      </c>
      <c r="B14" s="10" t="s">
        <v>18</v>
      </c>
      <c r="C14" s="11">
        <v>12.0</v>
      </c>
      <c r="D14" s="12">
        <v>3.2846E7</v>
      </c>
      <c r="E14" s="27">
        <v>0.0398656660804426</v>
      </c>
    </row>
    <row r="15" ht="15.0" customHeight="1">
      <c r="A15" s="6" t="s">
        <v>65</v>
      </c>
      <c r="B15" s="6" t="s">
        <v>64</v>
      </c>
      <c r="C15" s="7">
        <v>13.0</v>
      </c>
      <c r="D15" s="8">
        <v>2.73E7</v>
      </c>
      <c r="E15" s="26">
        <v>0.0331344055287122</v>
      </c>
    </row>
    <row r="16" ht="15.0" customHeight="1">
      <c r="A16" s="10" t="s">
        <v>49</v>
      </c>
      <c r="B16" s="10" t="s">
        <v>47</v>
      </c>
      <c r="C16" s="11">
        <v>9.0</v>
      </c>
      <c r="D16" s="12">
        <v>2.3724E7</v>
      </c>
      <c r="E16" s="27">
        <v>0.0287941625187974</v>
      </c>
    </row>
    <row r="17" ht="15.0" customHeight="1">
      <c r="A17" s="6" t="s">
        <v>28</v>
      </c>
      <c r="B17" s="6" t="s">
        <v>25</v>
      </c>
      <c r="C17" s="7">
        <v>12.0</v>
      </c>
      <c r="D17" s="8">
        <v>2.25E7</v>
      </c>
      <c r="E17" s="26">
        <v>0.0273085759852024</v>
      </c>
    </row>
    <row r="18" ht="15.0" customHeight="1">
      <c r="A18" s="10" t="s">
        <v>52</v>
      </c>
      <c r="B18" s="10" t="s">
        <v>51</v>
      </c>
      <c r="C18" s="11">
        <v>13.0</v>
      </c>
      <c r="D18" s="12">
        <v>1.7298E7</v>
      </c>
      <c r="E18" s="27">
        <v>0.0209948332174236</v>
      </c>
    </row>
    <row r="19" ht="15.0" customHeight="1">
      <c r="A19" s="6" t="s">
        <v>71</v>
      </c>
      <c r="B19" s="6" t="s">
        <v>70</v>
      </c>
      <c r="C19" s="7">
        <v>12.0</v>
      </c>
      <c r="D19" s="8">
        <v>1.6385E7</v>
      </c>
      <c r="E19" s="26">
        <v>0.0198867118896685</v>
      </c>
    </row>
    <row r="20" ht="15.0" customHeight="1">
      <c r="A20" s="10" t="s">
        <v>17</v>
      </c>
      <c r="B20" s="10" t="s">
        <v>14</v>
      </c>
      <c r="C20" s="11">
        <v>11.0</v>
      </c>
      <c r="D20" s="12">
        <v>1.6012E7</v>
      </c>
      <c r="E20" s="27">
        <v>0.0194339963855583</v>
      </c>
    </row>
    <row r="21" ht="15.0" customHeight="1">
      <c r="A21" s="6" t="s">
        <v>74</v>
      </c>
      <c r="B21" s="6" t="s">
        <v>73</v>
      </c>
      <c r="C21" s="7">
        <v>14.0</v>
      </c>
      <c r="D21" s="8">
        <v>1.422E7</v>
      </c>
      <c r="E21" s="26">
        <v>0.0172590200226479</v>
      </c>
    </row>
    <row r="22" ht="15.0" customHeight="1">
      <c r="A22" s="10" t="s">
        <v>32</v>
      </c>
      <c r="B22" s="10" t="s">
        <v>29</v>
      </c>
      <c r="C22" s="11">
        <v>10.0</v>
      </c>
      <c r="D22" s="12">
        <v>8486000.0</v>
      </c>
      <c r="E22" s="27">
        <v>0.0102995811471301</v>
      </c>
    </row>
    <row r="23" ht="15.75" customHeight="1">
      <c r="A23" s="28" t="s">
        <v>114</v>
      </c>
      <c r="B23" s="28"/>
      <c r="C23" s="28">
        <v>244.0</v>
      </c>
      <c r="D23" s="29">
        <v>8.23917E8</v>
      </c>
      <c r="E23" s="30">
        <v>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