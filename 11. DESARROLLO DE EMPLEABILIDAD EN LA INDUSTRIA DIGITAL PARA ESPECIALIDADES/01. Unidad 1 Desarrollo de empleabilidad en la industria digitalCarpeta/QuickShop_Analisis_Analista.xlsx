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Raw" sheetId="1" state="visible" r:id="rId1"/>
    <sheet xmlns:r="http://schemas.openxmlformats.org/officeDocument/2006/relationships" name="Ventas_Limpias" sheetId="2" state="visible" r:id="rId2"/>
    <sheet xmlns:r="http://schemas.openxmlformats.org/officeDocument/2006/relationships" name="Análisis_Venta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Conclus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97D"/>
      <sz val="13"/>
    </font>
    <font>
      <b val="1"/>
      <sz val="11"/>
    </font>
    <font>
      <b val="1"/>
    </font>
    <font>
      <b val="1"/>
      <color rgb="001F497D"/>
      <sz val="15"/>
    </font>
    <font>
      <i val="1"/>
      <sz val="10"/>
    </font>
    <font>
      <b val="1"/>
      <color rgb="001F497D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Totales por Categoría y Canal ($ CLP)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 de 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de Ventas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13" customWidth="1" min="2" max="2"/>
    <col width="12" customWidth="1" min="3" max="3"/>
    <col width="15" customWidth="1" min="4" max="4"/>
    <col width="13" customWidth="1" min="5" max="5"/>
    <col width="14" customWidth="1" min="6" max="6"/>
    <col width="12" customWidth="1" min="7" max="7"/>
  </cols>
  <sheetData>
    <row r="1">
      <c r="A1" t="inlineStr">
        <is>
          <t>ID_Transaccion</t>
        </is>
      </c>
      <c r="B1" t="inlineStr">
        <is>
          <t>Fecha</t>
        </is>
      </c>
      <c r="C1" t="inlineStr">
        <is>
          <t>Mes</t>
        </is>
      </c>
      <c r="D1" t="inlineStr">
        <is>
          <t>Categoria</t>
        </is>
      </c>
      <c r="E1" t="inlineStr">
        <is>
          <t>Canal</t>
        </is>
      </c>
      <c r="F1" t="inlineStr">
        <is>
          <t>Region</t>
        </is>
      </c>
      <c r="G1" t="inlineStr">
        <is>
          <t>Monto</t>
        </is>
      </c>
    </row>
    <row r="2">
      <c r="A2" t="n">
        <v>1001</v>
      </c>
      <c r="B2" t="inlineStr">
        <is>
          <t>2024-07-01</t>
        </is>
      </c>
      <c r="C2" t="inlineStr">
        <is>
          <t>Julio</t>
        </is>
      </c>
      <c r="D2" t="inlineStr">
        <is>
          <t>electronica</t>
        </is>
      </c>
      <c r="E2" t="inlineStr">
        <is>
          <t>web</t>
        </is>
      </c>
      <c r="F2" t="inlineStr">
        <is>
          <t>RM</t>
        </is>
      </c>
      <c r="G2" t="n">
        <v>85000</v>
      </c>
    </row>
    <row r="3">
      <c r="A3" t="n">
        <v>1002</v>
      </c>
      <c r="B3" t="inlineStr">
        <is>
          <t>2024-07-01</t>
        </is>
      </c>
      <c r="C3" t="inlineStr">
        <is>
          <t>Julio</t>
        </is>
      </c>
      <c r="D3" t="inlineStr">
        <is>
          <t xml:space="preserve">Hogar </t>
        </is>
      </c>
      <c r="E3" t="inlineStr">
        <is>
          <t>Web</t>
        </is>
      </c>
      <c r="F3" t="inlineStr">
        <is>
          <t>Valparaíso</t>
        </is>
      </c>
      <c r="G3" t="n">
        <v>45000</v>
      </c>
    </row>
    <row r="4">
      <c r="A4" t="n">
        <v>1003</v>
      </c>
      <c r="B4" t="inlineStr">
        <is>
          <t>2024-07-02</t>
        </is>
      </c>
      <c r="C4" t="inlineStr">
        <is>
          <t>Julio</t>
        </is>
      </c>
      <c r="D4" t="inlineStr">
        <is>
          <t>Moda</t>
        </is>
      </c>
      <c r="E4" t="inlineStr">
        <is>
          <t>app</t>
        </is>
      </c>
      <c r="G4" t="n">
        <v>25000</v>
      </c>
    </row>
    <row r="5">
      <c r="A5" t="n">
        <v>1004</v>
      </c>
      <c r="B5" t="inlineStr">
        <is>
          <t>2024-07-02</t>
        </is>
      </c>
      <c r="C5" t="inlineStr">
        <is>
          <t>Julio</t>
        </is>
      </c>
      <c r="D5" t="inlineStr">
        <is>
          <t>Deportes</t>
        </is>
      </c>
      <c r="E5" t="inlineStr">
        <is>
          <t>App</t>
        </is>
      </c>
      <c r="F5" t="inlineStr">
        <is>
          <t>Biobío</t>
        </is>
      </c>
      <c r="G5" t="n">
        <v>95000</v>
      </c>
    </row>
    <row r="6">
      <c r="A6" t="n">
        <v>1001</v>
      </c>
      <c r="B6" t="inlineStr">
        <is>
          <t>2024-07-01</t>
        </is>
      </c>
      <c r="C6" t="inlineStr">
        <is>
          <t>Julio</t>
        </is>
      </c>
      <c r="D6" t="inlineStr">
        <is>
          <t>electronica</t>
        </is>
      </c>
      <c r="E6" t="inlineStr">
        <is>
          <t>web</t>
        </is>
      </c>
      <c r="F6" t="inlineStr">
        <is>
          <t>RM</t>
        </is>
      </c>
      <c r="G6" t="n">
        <v>85000</v>
      </c>
    </row>
    <row r="7">
      <c r="A7" t="n">
        <v>1005</v>
      </c>
      <c r="B7" t="inlineStr">
        <is>
          <t>2024-07-03</t>
        </is>
      </c>
      <c r="C7" t="inlineStr">
        <is>
          <t>Julio</t>
        </is>
      </c>
      <c r="D7" t="inlineStr">
        <is>
          <t xml:space="preserve"> ELECTRONICA</t>
        </is>
      </c>
      <c r="E7" t="inlineStr">
        <is>
          <t>Web</t>
        </is>
      </c>
      <c r="F7" t="inlineStr">
        <is>
          <t>RM</t>
        </is>
      </c>
      <c r="G7" t="n">
        <v>120000</v>
      </c>
    </row>
    <row r="8">
      <c r="A8" t="n">
        <v>1006</v>
      </c>
      <c r="B8" t="inlineStr">
        <is>
          <t>2024-07-03</t>
        </is>
      </c>
      <c r="C8" t="inlineStr">
        <is>
          <t>Julio</t>
        </is>
      </c>
      <c r="D8" t="inlineStr">
        <is>
          <t>hogar</t>
        </is>
      </c>
      <c r="E8" t="inlineStr">
        <is>
          <t>app_mobile</t>
        </is>
      </c>
      <c r="F8" t="inlineStr">
        <is>
          <t>Coquimbo</t>
        </is>
      </c>
      <c r="G8" t="n">
        <v>35000</v>
      </c>
    </row>
    <row r="9">
      <c r="A9" t="n">
        <v>1007</v>
      </c>
      <c r="B9" t="inlineStr">
        <is>
          <t>2024-07-04</t>
        </is>
      </c>
      <c r="C9" t="inlineStr">
        <is>
          <t>Julio</t>
        </is>
      </c>
      <c r="D9" t="inlineStr">
        <is>
          <t>Moda</t>
        </is>
      </c>
      <c r="E9" t="inlineStr">
        <is>
          <t>Web</t>
        </is>
      </c>
      <c r="G9" t="n">
        <v>68000</v>
      </c>
    </row>
    <row r="10">
      <c r="A10" t="n">
        <v>1008</v>
      </c>
      <c r="B10" t="inlineStr">
        <is>
          <t>2024-07-05</t>
        </is>
      </c>
      <c r="C10" t="inlineStr">
        <is>
          <t>Julio</t>
        </is>
      </c>
      <c r="D10" t="inlineStr">
        <is>
          <t>deportes</t>
        </is>
      </c>
      <c r="E10" t="inlineStr">
        <is>
          <t>web_site</t>
        </is>
      </c>
      <c r="F10" t="inlineStr">
        <is>
          <t>RM</t>
        </is>
      </c>
      <c r="G10" t="n">
        <v>42000</v>
      </c>
    </row>
    <row r="11">
      <c r="A11" t="n">
        <v>1009</v>
      </c>
      <c r="B11" t="inlineStr">
        <is>
          <t>2024-07-05</t>
        </is>
      </c>
      <c r="C11" t="inlineStr">
        <is>
          <t>Julio</t>
        </is>
      </c>
      <c r="D11" t="inlineStr">
        <is>
          <t>Electronica</t>
        </is>
      </c>
      <c r="E11" t="inlineStr">
        <is>
          <t>App</t>
        </is>
      </c>
      <c r="F11" t="inlineStr">
        <is>
          <t>Antofagasta</t>
        </is>
      </c>
      <c r="G11" t="n">
        <v>110000</v>
      </c>
    </row>
    <row r="12">
      <c r="A12" t="n">
        <v>1010</v>
      </c>
      <c r="B12" t="inlineStr">
        <is>
          <t>2024-07-06</t>
        </is>
      </c>
      <c r="C12" t="inlineStr">
        <is>
          <t>Julio</t>
        </is>
      </c>
      <c r="D12" t="inlineStr">
        <is>
          <t>Hogar</t>
        </is>
      </c>
      <c r="E12" t="inlineStr">
        <is>
          <t>Web</t>
        </is>
      </c>
      <c r="F12" t="inlineStr">
        <is>
          <t>RM</t>
        </is>
      </c>
      <c r="G12" t="n">
        <v>28000</v>
      </c>
    </row>
    <row r="13">
      <c r="A13" t="n">
        <v>1004</v>
      </c>
      <c r="B13" t="inlineStr">
        <is>
          <t>2024-07-02</t>
        </is>
      </c>
      <c r="C13" t="inlineStr">
        <is>
          <t>Julio</t>
        </is>
      </c>
      <c r="D13" t="inlineStr">
        <is>
          <t>Deportes</t>
        </is>
      </c>
      <c r="E13" t="inlineStr">
        <is>
          <t>App</t>
        </is>
      </c>
      <c r="F13" t="inlineStr">
        <is>
          <t>Biobío</t>
        </is>
      </c>
      <c r="G13" t="n">
        <v>95000</v>
      </c>
    </row>
    <row r="14">
      <c r="A14" t="n">
        <v>1011</v>
      </c>
      <c r="B14" t="inlineStr">
        <is>
          <t>2024-08-01</t>
        </is>
      </c>
      <c r="C14" t="inlineStr">
        <is>
          <t>Agosto</t>
        </is>
      </c>
      <c r="D14" t="inlineStr">
        <is>
          <t>Electronica</t>
        </is>
      </c>
      <c r="E14" t="inlineStr">
        <is>
          <t>Web</t>
        </is>
      </c>
      <c r="F14" t="inlineStr">
        <is>
          <t>RM</t>
        </is>
      </c>
      <c r="G14" t="n">
        <v>92000</v>
      </c>
    </row>
    <row r="15">
      <c r="A15" t="n">
        <v>1012</v>
      </c>
      <c r="B15" t="inlineStr">
        <is>
          <t>2024-08-01</t>
        </is>
      </c>
      <c r="C15" t="inlineStr">
        <is>
          <t>Agosto</t>
        </is>
      </c>
      <c r="D15" t="inlineStr">
        <is>
          <t>Hogar</t>
        </is>
      </c>
      <c r="E15" t="inlineStr">
        <is>
          <t>App</t>
        </is>
      </c>
      <c r="F15" t="inlineStr">
        <is>
          <t>Valparaíso</t>
        </is>
      </c>
      <c r="G15" t="n">
        <v>54000</v>
      </c>
    </row>
    <row r="16">
      <c r="A16" t="n">
        <v>1013</v>
      </c>
      <c r="B16" t="inlineStr">
        <is>
          <t>2024-08-02</t>
        </is>
      </c>
      <c r="C16" t="inlineStr">
        <is>
          <t>Agosto</t>
        </is>
      </c>
      <c r="D16" t="inlineStr">
        <is>
          <t>Moda</t>
        </is>
      </c>
      <c r="E16" t="inlineStr">
        <is>
          <t>Web</t>
        </is>
      </c>
      <c r="F16" t="inlineStr">
        <is>
          <t>RM</t>
        </is>
      </c>
      <c r="G16" t="n">
        <v>31000</v>
      </c>
    </row>
    <row r="17">
      <c r="A17" t="n">
        <v>1014</v>
      </c>
      <c r="B17" t="inlineStr">
        <is>
          <t>2024-08-03</t>
        </is>
      </c>
      <c r="C17" t="inlineStr">
        <is>
          <t>Agosto</t>
        </is>
      </c>
      <c r="D17" t="inlineStr">
        <is>
          <t>Deportes</t>
        </is>
      </c>
      <c r="E17" t="inlineStr">
        <is>
          <t>App</t>
        </is>
      </c>
      <c r="G17" t="n">
        <v>88000</v>
      </c>
    </row>
    <row r="18">
      <c r="A18" t="n">
        <v>1015</v>
      </c>
      <c r="B18" t="inlineStr">
        <is>
          <t>2024-08-04</t>
        </is>
      </c>
      <c r="C18" t="inlineStr">
        <is>
          <t>Agosto</t>
        </is>
      </c>
      <c r="D18" t="inlineStr">
        <is>
          <t>Electronica</t>
        </is>
      </c>
      <c r="E18" t="inlineStr">
        <is>
          <t>App</t>
        </is>
      </c>
      <c r="F18" t="inlineStr">
        <is>
          <t>RM</t>
        </is>
      </c>
      <c r="G18" t="n">
        <v>65000</v>
      </c>
    </row>
    <row r="19">
      <c r="A19" t="n">
        <v>1016</v>
      </c>
      <c r="B19" t="inlineStr">
        <is>
          <t>2024-08-05</t>
        </is>
      </c>
      <c r="C19" t="inlineStr">
        <is>
          <t>Agosto</t>
        </is>
      </c>
      <c r="D19" t="inlineStr">
        <is>
          <t>Hogar</t>
        </is>
      </c>
      <c r="E19" t="inlineStr">
        <is>
          <t>Web</t>
        </is>
      </c>
      <c r="F19" t="inlineStr">
        <is>
          <t>Los Lagos</t>
        </is>
      </c>
      <c r="G19" t="n">
        <v>78000</v>
      </c>
    </row>
    <row r="20">
      <c r="A20" t="n">
        <v>1017</v>
      </c>
      <c r="B20" t="inlineStr">
        <is>
          <t>2024-08-06</t>
        </is>
      </c>
      <c r="C20" t="inlineStr">
        <is>
          <t>Agosto</t>
        </is>
      </c>
      <c r="D20" t="inlineStr">
        <is>
          <t>Deportes</t>
        </is>
      </c>
      <c r="E20" t="inlineStr">
        <is>
          <t>Web</t>
        </is>
      </c>
      <c r="F20" t="inlineStr">
        <is>
          <t>RM</t>
        </is>
      </c>
      <c r="G20" t="n">
        <v>49000</v>
      </c>
    </row>
    <row r="21">
      <c r="A21" t="n">
        <v>1018</v>
      </c>
      <c r="B21" t="inlineStr">
        <is>
          <t>2024-08-07</t>
        </is>
      </c>
      <c r="C21" t="inlineStr">
        <is>
          <t>Agosto</t>
        </is>
      </c>
      <c r="D21" t="inlineStr">
        <is>
          <t>Moda</t>
        </is>
      </c>
      <c r="E21" t="inlineStr">
        <is>
          <t>App</t>
        </is>
      </c>
      <c r="F21" t="inlineStr">
        <is>
          <t>RM</t>
        </is>
      </c>
      <c r="G21" t="n">
        <v>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13" customWidth="1" min="2" max="2"/>
    <col width="12" customWidth="1" min="3" max="3"/>
    <col width="14" customWidth="1" min="4" max="4"/>
    <col width="12" customWidth="1" min="5" max="5"/>
    <col width="18" customWidth="1" min="6" max="6"/>
    <col width="12" customWidth="1" min="7" max="7"/>
    <col width="58" customWidth="1" min="8" max="8"/>
  </cols>
  <sheetData>
    <row r="1">
      <c r="A1" s="1" t="inlineStr">
        <is>
          <t>ID_Transaccion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Categoria</t>
        </is>
      </c>
      <c r="E1" s="1" t="inlineStr">
        <is>
          <t>Canal</t>
        </is>
      </c>
      <c r="F1" s="1" t="inlineStr">
        <is>
          <t>Region</t>
        </is>
      </c>
      <c r="G1" s="1" t="inlineStr">
        <is>
          <t>Monto</t>
        </is>
      </c>
      <c r="H1" s="2" t="inlineStr">
        <is>
          <t>Clasificación_Venta</t>
        </is>
      </c>
    </row>
    <row r="2">
      <c r="A2" s="3" t="n">
        <v>1001</v>
      </c>
      <c r="B2" s="3" t="inlineStr">
        <is>
          <t>2024-07-01</t>
        </is>
      </c>
      <c r="C2" s="3" t="inlineStr">
        <is>
          <t>Julio</t>
        </is>
      </c>
      <c r="D2" s="3" t="inlineStr">
        <is>
          <t>Electrónica</t>
        </is>
      </c>
      <c r="E2" s="3" t="inlineStr">
        <is>
          <t>Web</t>
        </is>
      </c>
      <c r="F2" s="3" t="inlineStr">
        <is>
          <t>RM</t>
        </is>
      </c>
      <c r="G2" s="4" t="n">
        <v>85000</v>
      </c>
      <c r="H2" s="5">
        <f>IF(G2&gt;75000, "Alta", IF(G2&gt;=30000, "Media", "Baja"))</f>
        <v/>
      </c>
    </row>
    <row r="3">
      <c r="A3" s="3" t="n">
        <v>1002</v>
      </c>
      <c r="B3" s="3" t="inlineStr">
        <is>
          <t>2024-07-01</t>
        </is>
      </c>
      <c r="C3" s="3" t="inlineStr">
        <is>
          <t>Julio</t>
        </is>
      </c>
      <c r="D3" s="3" t="inlineStr">
        <is>
          <t>Hogar</t>
        </is>
      </c>
      <c r="E3" s="3" t="inlineStr">
        <is>
          <t>Web</t>
        </is>
      </c>
      <c r="F3" s="3" t="inlineStr">
        <is>
          <t>Valparaíso</t>
        </is>
      </c>
      <c r="G3" s="4" t="n">
        <v>45000</v>
      </c>
      <c r="H3" s="5">
        <f>IF(G3&gt;75000, "Alta", IF(G3&gt;=30000, "Media", "Baja"))</f>
        <v/>
      </c>
    </row>
    <row r="4">
      <c r="A4" s="3" t="n">
        <v>1003</v>
      </c>
      <c r="B4" s="3" t="inlineStr">
        <is>
          <t>2024-07-02</t>
        </is>
      </c>
      <c r="C4" s="3" t="inlineStr">
        <is>
          <t>Julio</t>
        </is>
      </c>
      <c r="D4" s="3" t="inlineStr">
        <is>
          <t>Moda</t>
        </is>
      </c>
      <c r="E4" s="3" t="inlineStr">
        <is>
          <t>App</t>
        </is>
      </c>
      <c r="F4" s="3" t="inlineStr">
        <is>
          <t>No especificado</t>
        </is>
      </c>
      <c r="G4" s="4" t="n">
        <v>25000</v>
      </c>
      <c r="H4" s="5">
        <f>IF(G4&gt;75000, "Alta", IF(G4&gt;=30000, "Media", "Baja"))</f>
        <v/>
      </c>
    </row>
    <row r="5">
      <c r="A5" s="3" t="n">
        <v>1004</v>
      </c>
      <c r="B5" s="3" t="inlineStr">
        <is>
          <t>2024-07-02</t>
        </is>
      </c>
      <c r="C5" s="3" t="inlineStr">
        <is>
          <t>Julio</t>
        </is>
      </c>
      <c r="D5" s="3" t="inlineStr">
        <is>
          <t>Deportes</t>
        </is>
      </c>
      <c r="E5" s="3" t="inlineStr">
        <is>
          <t>App</t>
        </is>
      </c>
      <c r="F5" s="3" t="inlineStr">
        <is>
          <t>Biobío</t>
        </is>
      </c>
      <c r="G5" s="4" t="n">
        <v>95000</v>
      </c>
      <c r="H5" s="5">
        <f>IF(G5&gt;75000, "Alta", IF(G5&gt;=30000, "Media", "Baja"))</f>
        <v/>
      </c>
    </row>
    <row r="6">
      <c r="A6" s="3" t="n">
        <v>1005</v>
      </c>
      <c r="B6" s="3" t="inlineStr">
        <is>
          <t>2024-07-03</t>
        </is>
      </c>
      <c r="C6" s="3" t="inlineStr">
        <is>
          <t>Julio</t>
        </is>
      </c>
      <c r="D6" s="3" t="inlineStr">
        <is>
          <t>Electrónica</t>
        </is>
      </c>
      <c r="E6" s="3" t="inlineStr">
        <is>
          <t>Web</t>
        </is>
      </c>
      <c r="F6" s="3" t="inlineStr">
        <is>
          <t>RM</t>
        </is>
      </c>
      <c r="G6" s="4" t="n">
        <v>120000</v>
      </c>
      <c r="H6" s="5">
        <f>IF(G6&gt;75000, "Alta", IF(G6&gt;=30000, "Media", "Baja"))</f>
        <v/>
      </c>
    </row>
    <row r="7">
      <c r="A7" s="3" t="n">
        <v>1006</v>
      </c>
      <c r="B7" s="3" t="inlineStr">
        <is>
          <t>2024-07-03</t>
        </is>
      </c>
      <c r="C7" s="3" t="inlineStr">
        <is>
          <t>Julio</t>
        </is>
      </c>
      <c r="D7" s="3" t="inlineStr">
        <is>
          <t>Hogar</t>
        </is>
      </c>
      <c r="E7" s="3" t="inlineStr">
        <is>
          <t>App</t>
        </is>
      </c>
      <c r="F7" s="3" t="inlineStr">
        <is>
          <t>Coquimbo</t>
        </is>
      </c>
      <c r="G7" s="4" t="n">
        <v>35000</v>
      </c>
      <c r="H7" s="5">
        <f>IF(G7&gt;75000, "Alta", IF(G7&gt;=30000, "Media", "Baja"))</f>
        <v/>
      </c>
    </row>
    <row r="8">
      <c r="A8" s="3" t="n">
        <v>1007</v>
      </c>
      <c r="B8" s="3" t="inlineStr">
        <is>
          <t>2024-07-04</t>
        </is>
      </c>
      <c r="C8" s="3" t="inlineStr">
        <is>
          <t>Julio</t>
        </is>
      </c>
      <c r="D8" s="3" t="inlineStr">
        <is>
          <t>Moda</t>
        </is>
      </c>
      <c r="E8" s="3" t="inlineStr">
        <is>
          <t>Web</t>
        </is>
      </c>
      <c r="F8" s="3" t="inlineStr">
        <is>
          <t>No especificado</t>
        </is>
      </c>
      <c r="G8" s="4" t="n">
        <v>68000</v>
      </c>
      <c r="H8" s="5">
        <f>IF(G8&gt;75000, "Alta", IF(G8&gt;=30000, "Media", "Baja"))</f>
        <v/>
      </c>
    </row>
    <row r="9">
      <c r="A9" s="3" t="n">
        <v>1008</v>
      </c>
      <c r="B9" s="3" t="inlineStr">
        <is>
          <t>2024-07-05</t>
        </is>
      </c>
      <c r="C9" s="3" t="inlineStr">
        <is>
          <t>Julio</t>
        </is>
      </c>
      <c r="D9" s="3" t="inlineStr">
        <is>
          <t>Deportes</t>
        </is>
      </c>
      <c r="E9" s="3" t="inlineStr">
        <is>
          <t>Web</t>
        </is>
      </c>
      <c r="F9" s="3" t="inlineStr">
        <is>
          <t>RM</t>
        </is>
      </c>
      <c r="G9" s="4" t="n">
        <v>42000</v>
      </c>
      <c r="H9" s="5">
        <f>IF(G9&gt;75000, "Alta", IF(G9&gt;=30000, "Media", "Baja"))</f>
        <v/>
      </c>
    </row>
    <row r="10">
      <c r="A10" s="3" t="n">
        <v>1009</v>
      </c>
      <c r="B10" s="3" t="inlineStr">
        <is>
          <t>2024-07-05</t>
        </is>
      </c>
      <c r="C10" s="3" t="inlineStr">
        <is>
          <t>Julio</t>
        </is>
      </c>
      <c r="D10" s="3" t="inlineStr">
        <is>
          <t>Electrónica</t>
        </is>
      </c>
      <c r="E10" s="3" t="inlineStr">
        <is>
          <t>App</t>
        </is>
      </c>
      <c r="F10" s="3" t="inlineStr">
        <is>
          <t>Antofagasta</t>
        </is>
      </c>
      <c r="G10" s="4" t="n">
        <v>110000</v>
      </c>
      <c r="H10" s="5">
        <f>IF(G10&gt;75000, "Alta", IF(G10&gt;=30000, "Media", "Baja"))</f>
        <v/>
      </c>
    </row>
    <row r="11">
      <c r="A11" s="3" t="n">
        <v>1010</v>
      </c>
      <c r="B11" s="3" t="inlineStr">
        <is>
          <t>2024-07-06</t>
        </is>
      </c>
      <c r="C11" s="3" t="inlineStr">
        <is>
          <t>Julio</t>
        </is>
      </c>
      <c r="D11" s="3" t="inlineStr">
        <is>
          <t>Hogar</t>
        </is>
      </c>
      <c r="E11" s="3" t="inlineStr">
        <is>
          <t>Web</t>
        </is>
      </c>
      <c r="F11" s="3" t="inlineStr">
        <is>
          <t>RM</t>
        </is>
      </c>
      <c r="G11" s="4" t="n">
        <v>28000</v>
      </c>
      <c r="H11" s="5">
        <f>IF(G11&gt;75000, "Alta", IF(G11&gt;=30000, "Media", "Baja"))</f>
        <v/>
      </c>
    </row>
    <row r="12">
      <c r="A12" s="3" t="n">
        <v>1011</v>
      </c>
      <c r="B12" s="3" t="inlineStr">
        <is>
          <t>2024-08-01</t>
        </is>
      </c>
      <c r="C12" s="3" t="inlineStr">
        <is>
          <t>Agosto</t>
        </is>
      </c>
      <c r="D12" s="3" t="inlineStr">
        <is>
          <t>Electrónica</t>
        </is>
      </c>
      <c r="E12" s="3" t="inlineStr">
        <is>
          <t>Web</t>
        </is>
      </c>
      <c r="F12" s="3" t="inlineStr">
        <is>
          <t>RM</t>
        </is>
      </c>
      <c r="G12" s="4" t="n">
        <v>92000</v>
      </c>
      <c r="H12" s="5">
        <f>IF(G12&gt;75000, "Alta", IF(G12&gt;=30000, "Media", "Baja"))</f>
        <v/>
      </c>
    </row>
    <row r="13">
      <c r="A13" s="3" t="n">
        <v>1012</v>
      </c>
      <c r="B13" s="3" t="inlineStr">
        <is>
          <t>2024-08-01</t>
        </is>
      </c>
      <c r="C13" s="3" t="inlineStr">
        <is>
          <t>Agosto</t>
        </is>
      </c>
      <c r="D13" s="3" t="inlineStr">
        <is>
          <t>Hogar</t>
        </is>
      </c>
      <c r="E13" s="3" t="inlineStr">
        <is>
          <t>App</t>
        </is>
      </c>
      <c r="F13" s="3" t="inlineStr">
        <is>
          <t>Valparaíso</t>
        </is>
      </c>
      <c r="G13" s="4" t="n">
        <v>54000</v>
      </c>
      <c r="H13" s="5">
        <f>IF(G13&gt;75000, "Alta", IF(G13&gt;=30000, "Media", "Baja"))</f>
        <v/>
      </c>
    </row>
    <row r="14">
      <c r="A14" s="3" t="n">
        <v>1013</v>
      </c>
      <c r="B14" s="3" t="inlineStr">
        <is>
          <t>2024-08-02</t>
        </is>
      </c>
      <c r="C14" s="3" t="inlineStr">
        <is>
          <t>Agosto</t>
        </is>
      </c>
      <c r="D14" s="3" t="inlineStr">
        <is>
          <t>Moda</t>
        </is>
      </c>
      <c r="E14" s="3" t="inlineStr">
        <is>
          <t>Web</t>
        </is>
      </c>
      <c r="F14" s="3" t="inlineStr">
        <is>
          <t>RM</t>
        </is>
      </c>
      <c r="G14" s="4" t="n">
        <v>31000</v>
      </c>
      <c r="H14" s="5">
        <f>IF(G14&gt;75000, "Alta", IF(G14&gt;=30000, "Media", "Baja"))</f>
        <v/>
      </c>
    </row>
    <row r="15">
      <c r="A15" s="3" t="n">
        <v>1014</v>
      </c>
      <c r="B15" s="3" t="inlineStr">
        <is>
          <t>2024-08-03</t>
        </is>
      </c>
      <c r="C15" s="3" t="inlineStr">
        <is>
          <t>Agosto</t>
        </is>
      </c>
      <c r="D15" s="3" t="inlineStr">
        <is>
          <t>Deportes</t>
        </is>
      </c>
      <c r="E15" s="3" t="inlineStr">
        <is>
          <t>App</t>
        </is>
      </c>
      <c r="F15" s="3" t="inlineStr">
        <is>
          <t>No especificado</t>
        </is>
      </c>
      <c r="G15" s="4" t="n">
        <v>88000</v>
      </c>
      <c r="H15" s="5">
        <f>IF(G15&gt;75000, "Alta", IF(G15&gt;=30000, "Media", "Baja"))</f>
        <v/>
      </c>
    </row>
    <row r="16">
      <c r="A16" s="3" t="n">
        <v>1015</v>
      </c>
      <c r="B16" s="3" t="inlineStr">
        <is>
          <t>2024-08-04</t>
        </is>
      </c>
      <c r="C16" s="3" t="inlineStr">
        <is>
          <t>Agosto</t>
        </is>
      </c>
      <c r="D16" s="3" t="inlineStr">
        <is>
          <t>Electrónica</t>
        </is>
      </c>
      <c r="E16" s="3" t="inlineStr">
        <is>
          <t>App</t>
        </is>
      </c>
      <c r="F16" s="3" t="inlineStr">
        <is>
          <t>RM</t>
        </is>
      </c>
      <c r="G16" s="4" t="n">
        <v>65000</v>
      </c>
      <c r="H16" s="5">
        <f>IF(G16&gt;75000, "Alta", IF(G16&gt;=30000, "Media", "Baja"))</f>
        <v/>
      </c>
    </row>
    <row r="17">
      <c r="A17" s="3" t="n">
        <v>1016</v>
      </c>
      <c r="B17" s="3" t="inlineStr">
        <is>
          <t>2024-08-05</t>
        </is>
      </c>
      <c r="C17" s="3" t="inlineStr">
        <is>
          <t>Agosto</t>
        </is>
      </c>
      <c r="D17" s="3" t="inlineStr">
        <is>
          <t>Hogar</t>
        </is>
      </c>
      <c r="E17" s="3" t="inlineStr">
        <is>
          <t>Web</t>
        </is>
      </c>
      <c r="F17" s="3" t="inlineStr">
        <is>
          <t>Los Lagos</t>
        </is>
      </c>
      <c r="G17" s="4" t="n">
        <v>78000</v>
      </c>
      <c r="H17" s="5">
        <f>IF(G17&gt;75000, "Alta", IF(G17&gt;=30000, "Media", "Baja"))</f>
        <v/>
      </c>
    </row>
    <row r="18">
      <c r="A18" s="3" t="n">
        <v>1017</v>
      </c>
      <c r="B18" s="3" t="inlineStr">
        <is>
          <t>2024-08-06</t>
        </is>
      </c>
      <c r="C18" s="3" t="inlineStr">
        <is>
          <t>Agosto</t>
        </is>
      </c>
      <c r="D18" s="3" t="inlineStr">
        <is>
          <t>Deportes</t>
        </is>
      </c>
      <c r="E18" s="3" t="inlineStr">
        <is>
          <t>Web</t>
        </is>
      </c>
      <c r="F18" s="3" t="inlineStr">
        <is>
          <t>RM</t>
        </is>
      </c>
      <c r="G18" s="4" t="n">
        <v>49000</v>
      </c>
      <c r="H18" s="5">
        <f>IF(G18&gt;75000, "Alta", IF(G18&gt;=30000, "Media", "Baja"))</f>
        <v/>
      </c>
    </row>
    <row r="19">
      <c r="A19" s="3" t="n">
        <v>1018</v>
      </c>
      <c r="B19" s="3" t="inlineStr">
        <is>
          <t>2024-08-07</t>
        </is>
      </c>
      <c r="C19" s="3" t="inlineStr">
        <is>
          <t>Agosto</t>
        </is>
      </c>
      <c r="D19" s="3" t="inlineStr">
        <is>
          <t>Moda</t>
        </is>
      </c>
      <c r="E19" s="3" t="inlineStr">
        <is>
          <t>App</t>
        </is>
      </c>
      <c r="F19" s="3" t="inlineStr">
        <is>
          <t>RM</t>
        </is>
      </c>
      <c r="G19" s="4" t="n">
        <v>22000</v>
      </c>
      <c r="H19" s="5">
        <f>IF(G19&gt;75000, "Alta", IF(G19&gt;=30000, "Media", "Baja"))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 outlineLevelCol="0"/>
  <cols>
    <col width="77" customWidth="1" min="1" max="1"/>
    <col width="74" customWidth="1" min="2" max="2"/>
  </cols>
  <sheetData>
    <row r="1">
      <c r="A1" s="6" t="inlineStr">
        <is>
          <t>ANÁLISIS DE VENTAS CON FÓRMULAS EXCEL - BYRON CALDERÓN (ANALISTA DE DATOS)</t>
        </is>
      </c>
    </row>
    <row r="2"/>
    <row r="3">
      <c r="A3" s="7" t="inlineStr">
        <is>
          <t>1. Ventas Totales por Categoría (SUMAR.SI)</t>
        </is>
      </c>
    </row>
    <row r="4">
      <c r="A4" s="2" t="inlineStr">
        <is>
          <t>Categoría</t>
        </is>
      </c>
      <c r="B4" s="2" t="inlineStr">
        <is>
          <t>Ventas Totales ($)</t>
        </is>
      </c>
    </row>
    <row r="5">
      <c r="A5" t="inlineStr">
        <is>
          <t>Electrónica</t>
        </is>
      </c>
      <c r="B5" s="8">
        <f>SUMIF(Ventas_Limpias!D$2:D$50, "Electrónica", Ventas_Limpias!G$2:G$50)</f>
        <v/>
      </c>
    </row>
    <row r="6">
      <c r="A6" t="inlineStr">
        <is>
          <t>Hogar</t>
        </is>
      </c>
      <c r="B6" s="8">
        <f>SUMIF(Ventas_Limpias!D$2:D$50, "Hogar", Ventas_Limpias!G$2:G$50)</f>
        <v/>
      </c>
    </row>
    <row r="7">
      <c r="A7" t="inlineStr">
        <is>
          <t>Moda</t>
        </is>
      </c>
      <c r="B7" s="8">
        <f>SUMIF(Ventas_Limpias!D$2:D$50, "Moda", Ventas_Limpias!G$2:G$50)</f>
        <v/>
      </c>
    </row>
    <row r="8">
      <c r="A8" t="inlineStr">
        <is>
          <t>Deportes</t>
        </is>
      </c>
      <c r="B8" s="8">
        <f>SUMIF(Ventas_Limpias!D$2:D$50, "Deportes", Ventas_Limpias!G$2:G$50)</f>
        <v/>
      </c>
    </row>
    <row r="9">
      <c r="A9" s="9" t="inlineStr">
        <is>
          <t>Total General</t>
        </is>
      </c>
      <c r="B9" s="10">
        <f>SUM(B5:B8)</f>
        <v/>
      </c>
    </row>
    <row r="10"/>
    <row r="11">
      <c r="A11" s="7" t="inlineStr">
        <is>
          <t>2. Ticket Promedio por Canal (PROMEDIO.SI)</t>
        </is>
      </c>
    </row>
    <row r="12">
      <c r="A12" s="2" t="inlineStr">
        <is>
          <t>Canal</t>
        </is>
      </c>
      <c r="B12" s="2" t="inlineStr">
        <is>
          <t>Ticket Promedio ($)</t>
        </is>
      </c>
    </row>
    <row r="13">
      <c r="A13" t="inlineStr">
        <is>
          <t>Web</t>
        </is>
      </c>
      <c r="B13" s="8">
        <f>AVERAGEIF(Ventas_Limpias!E$2:E$50, "Web", Ventas_Limpias!G$2:G$50)</f>
        <v/>
      </c>
    </row>
    <row r="14">
      <c r="A14" t="inlineStr">
        <is>
          <t>App</t>
        </is>
      </c>
      <c r="B14" s="8">
        <f>AVERAGEIF(Ventas_Limpias!E$2:E$50, "App", Ventas_Limpias!G$2:G$50)</f>
        <v/>
      </c>
    </row>
    <row r="15"/>
    <row r="16">
      <c r="A16" s="7" t="inlineStr">
        <is>
          <t>3. Transacciones Mayores a $50.000 (CONTAR.SI)</t>
        </is>
      </c>
    </row>
    <row r="17">
      <c r="A17" s="2" t="inlineStr">
        <is>
          <t>Métrica</t>
        </is>
      </c>
      <c r="B17" s="2" t="inlineStr">
        <is>
          <t>Cantidad Transacciones</t>
        </is>
      </c>
    </row>
    <row r="18">
      <c r="A18" t="inlineStr">
        <is>
          <t>N° Transacciones &gt; $50,000</t>
        </is>
      </c>
      <c r="B18" s="9">
        <f>COUNTIF(Ventas_Limpias!G$2:G$50, "&gt;50000")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 outlineLevelCol="0"/>
  <cols>
    <col width="69" customWidth="1" min="1" max="1"/>
    <col width="107" customWidth="1" min="2" max="2"/>
    <col width="107" customWidth="1" min="3" max="3"/>
  </cols>
  <sheetData>
    <row r="1">
      <c r="A1" s="11" t="inlineStr">
        <is>
          <t>DASHBOARD DE VENTAS QUICKSHOP — BYRON CALDERÓN (ANALISTA DE DATOS)</t>
        </is>
      </c>
    </row>
    <row r="2">
      <c r="A2" s="12" t="inlineStr">
        <is>
          <t>Filtro de Informe (Mes): Todos [Julio, Agosto]</t>
        </is>
      </c>
    </row>
    <row r="3"/>
    <row r="4">
      <c r="A4" s="2" t="inlineStr">
        <is>
          <t>Categoría</t>
        </is>
      </c>
      <c r="B4" s="2" t="inlineStr">
        <is>
          <t>Web ($)</t>
        </is>
      </c>
      <c r="C4" s="2" t="inlineStr">
        <is>
          <t>App ($)</t>
        </is>
      </c>
    </row>
    <row r="5">
      <c r="A5" t="inlineStr">
        <is>
          <t>Electrónica</t>
        </is>
      </c>
      <c r="B5" s="8">
        <f>SUMIFS(Ventas_Limpias!G$2:G$50, Ventas_Limpias!D$2:D$50, "Electrónica", Ventas_Limpias!E$2:E$50, "Web")</f>
        <v/>
      </c>
      <c r="C5" s="8">
        <f>SUMIFS(Ventas_Limpias!G$2:G$50, Ventas_Limpias!D$2:D$50, "Electrónica", Ventas_Limpias!E$2:E$50, "App")</f>
        <v/>
      </c>
    </row>
    <row r="6">
      <c r="A6" t="inlineStr">
        <is>
          <t>Hogar</t>
        </is>
      </c>
      <c r="B6" s="8">
        <f>SUMIFS(Ventas_Limpias!G$2:G$50, Ventas_Limpias!D$2:D$50, "Hogar", Ventas_Limpias!E$2:E$50, "Web")</f>
        <v/>
      </c>
      <c r="C6" s="8">
        <f>SUMIFS(Ventas_Limpias!G$2:G$50, Ventas_Limpias!D$2:D$50, "Hogar", Ventas_Limpias!E$2:E$50, "App")</f>
        <v/>
      </c>
    </row>
    <row r="7">
      <c r="A7" t="inlineStr">
        <is>
          <t>Moda</t>
        </is>
      </c>
      <c r="B7" s="8">
        <f>SUMIFS(Ventas_Limpias!G$2:G$50, Ventas_Limpias!D$2:D$50, "Moda", Ventas_Limpias!E$2:E$50, "Web")</f>
        <v/>
      </c>
      <c r="C7" s="8">
        <f>SUMIFS(Ventas_Limpias!G$2:G$50, Ventas_Limpias!D$2:D$50, "Moda", Ventas_Limpias!E$2:E$50, "App")</f>
        <v/>
      </c>
    </row>
    <row r="8">
      <c r="A8" t="inlineStr">
        <is>
          <t>Deportes</t>
        </is>
      </c>
      <c r="B8" s="8">
        <f>SUMIFS(Ventas_Limpias!G$2:G$50, Ventas_Limpias!D$2:D$50, "Deportes", Ventas_Limpias!E$2:E$50, "Web")</f>
        <v/>
      </c>
      <c r="C8" s="8">
        <f>SUMIFS(Ventas_Limpias!G$2:G$50, Ventas_Limpias!D$2:D$50, "Deportes", Ventas_Limpias!E$2:E$50, "App")</f>
        <v/>
      </c>
    </row>
    <row r="9">
      <c r="A9" s="9" t="inlineStr">
        <is>
          <t>Total</t>
        </is>
      </c>
      <c r="B9" s="10">
        <f>SUM(B5:B8)</f>
        <v/>
      </c>
      <c r="C9" s="10">
        <f>SUM(C5:C8)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 outlineLevelCol="0"/>
  <cols>
    <col width="1642" customWidth="1" min="1" max="1"/>
  </cols>
  <sheetData>
    <row r="1">
      <c r="A1" s="13" t="inlineStr">
        <is>
          <t>INFORME EJECUTIVO Y CONCLUSIONES ANALÍTICAS — BYRON CALDERÓN</t>
        </is>
      </c>
    </row>
    <row r="2"/>
    <row r="3">
      <c r="A3" s="14" t="inlineStr">
        <is>
          <t>INFORME EJECUTIVO: ANÁLISIS DE VENTAS Y OPORTUNIDADES EN QUICKSHOP
Analista de Datos: Byron Calderón
1. Categoría e Ingresos Principales:
La categoría de Electrónica genera los mayores ingresos globales (superando los $370,000 en el periodo), siendo el canal Web el principal motor impulsor para compras de mayor valor unitario.
2. Patrón de Ticket Promedio (Web vs App):
Se observa una clara diferenciación en el comportamiento del consumidor: el canal Web registra un ticket promedio superior ($67,429 vs $59,500 en App), debido a que los clientes prefieren pantallas grandes para evaluar especificaciones técnicas de productos de tecnología y hogar. Por su parte, la App genera mayor frecuencia de compra en montos menores/medianos (Moda y Deportes).
3. Calidad de Datos y Resolución:
Encontramos 3 problemas críticos: duplicidad de IDs transaccionales (ej. ID 1001 y 1004), inconsistencia de nombres por espacios/minusculas ('electronica', 'Hogar '), e imprecisión en Canales ('app_mobile', 'web_site') y Regiones nulas. Fueron resueltos por Byron Calderón eliminando duplicados exactos, estandarizando texto con TRIM/PROPER, unificando canales a 'Web'/'App' e imputando regiones vacías como 'No especificado'.
4. Recomendaciones Basadas en Datos:
- Recomendación 1: Optimizar la experiencia UI/UX de la App móvil para productos de alta gama (Electrónica), incorporando comparadores de especificaciones para elevar el ticket promedio móvil.
- Recomendación 2: Implementar campañas de retención y cross-selling regional focalizadas en la Región Metropolitana y Valparaíso, incentivando la segunda compra mediante cupones post-venta.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2026-08-20T00:52:55Z</dcterms:created>
  <dcterms:modified xmlns:dcterms="http://purl.org/dc/terms/" xmlns:xsi="http://www.w3.org/2001/XMLSchema-instance" xsi:type="dcterms:W3CDTF">2026-08-20T00:52:56Z</dcterms:modified>
</cp:coreProperties>
</file>